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zw\Desktop\Desktop\预算\"/>
    </mc:Choice>
  </mc:AlternateContent>
  <bookViews>
    <workbookView xWindow="0" yWindow="0" windowWidth="22260" windowHeight="12645" firstSheet="6" activeTab="9"/>
  </bookViews>
  <sheets>
    <sheet name="预算门店信息填报表-表样（BGT）" sheetId="10" r:id="rId1"/>
    <sheet name="预算门店信息填报表-规则（BGT）" sheetId="2" r:id="rId2"/>
    <sheet name="销售-BGT啊" sheetId="1" state="hidden" r:id="rId3"/>
    <sheet name="预实表样&amp;规则说明  " sheetId="14" r:id="rId4"/>
    <sheet name="门店信息滚动更新-表样（FCST）" sheetId="12" r:id="rId5"/>
    <sheet name="门店信息滚动更新-规则（FCST）" sheetId="11" r:id="rId6"/>
    <sheet name="门店销售预算编制表（财务）-BGT" sheetId="7" r:id="rId7"/>
    <sheet name="门店销售预算编制表（业务）-BGT" sheetId="9" r:id="rId8"/>
    <sheet name="门店销售滚动更新（FCST）" sheetId="6" r:id="rId9"/>
    <sheet name="BU&amp;单店品牌对照表" sheetId="4" r:id="rId10"/>
  </sheets>
  <definedNames>
    <definedName name="_xlnm._FilterDatabase" localSheetId="9" hidden="1">'BU&amp;单店品牌对照表'!$A$1:$D$15</definedName>
    <definedName name="_xlnm._FilterDatabase" localSheetId="8" hidden="1">'门店销售滚动更新（FCST）'!$A$32:$R$34</definedName>
    <definedName name="_xlnm._FilterDatabase" localSheetId="5" hidden="1">'门店信息滚动更新-规则（FCST）'!$A$12:$D$53</definedName>
    <definedName name="_xlnm._FilterDatabase" localSheetId="3" hidden="1">'预实表样&amp;规则说明  '!$C$6:$E$15</definedName>
    <definedName name="_xlnm._FilterDatabase" localSheetId="1" hidden="1">'预算门店信息填报表-规则（BGT）'!$A$9:$D$50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6" l="1"/>
  <c r="I26" i="6"/>
  <c r="H19" i="6"/>
  <c r="H18" i="6" l="1"/>
</calcChain>
</file>

<file path=xl/sharedStrings.xml><?xml version="1.0" encoding="utf-8"?>
<sst xmlns="http://schemas.openxmlformats.org/spreadsheetml/2006/main" count="956" uniqueCount="324">
  <si>
    <t>月份</t>
    <phoneticPr fontId="1" type="noConversion"/>
  </si>
  <si>
    <t>代码</t>
    <phoneticPr fontId="1" type="noConversion"/>
  </si>
  <si>
    <t>销售品牌</t>
    <phoneticPr fontId="1" type="noConversion"/>
  </si>
  <si>
    <t>审批销售</t>
    <phoneticPr fontId="1" type="noConversion"/>
  </si>
  <si>
    <t>BU</t>
  </si>
  <si>
    <t>单店代码</t>
  </si>
  <si>
    <t>实体代码</t>
  </si>
  <si>
    <t>虚拟代码</t>
  </si>
  <si>
    <t>合柜店代码</t>
  </si>
  <si>
    <t>商店类型</t>
  </si>
  <si>
    <t>合同变更</t>
  </si>
  <si>
    <t>开店日期</t>
  </si>
  <si>
    <t>关店日期</t>
  </si>
  <si>
    <t>重装日期（起）</t>
  </si>
  <si>
    <t>重装日期（止)</t>
  </si>
  <si>
    <t>重装期是否停业</t>
  </si>
  <si>
    <t>大区</t>
  </si>
  <si>
    <t>区域管理组</t>
  </si>
  <si>
    <t>销售渠道</t>
  </si>
  <si>
    <t>城市</t>
  </si>
  <si>
    <t>经营模式</t>
  </si>
  <si>
    <t>门店形象</t>
  </si>
  <si>
    <t>店面积</t>
  </si>
  <si>
    <t>合柜店面积</t>
  </si>
  <si>
    <t>装修补贴</t>
  </si>
  <si>
    <t>备注</t>
  </si>
  <si>
    <t>手工填写</t>
    <phoneticPr fontId="1" type="noConversion"/>
  </si>
  <si>
    <t>备注说明</t>
    <phoneticPr fontId="1" type="noConversion"/>
  </si>
  <si>
    <t>现有合同-合同期（年）</t>
    <phoneticPr fontId="1" type="noConversion"/>
  </si>
  <si>
    <t>现有合同-起始日期</t>
    <phoneticPr fontId="1" type="noConversion"/>
  </si>
  <si>
    <t>自动计算（单位：年）</t>
    <phoneticPr fontId="1" type="noConversion"/>
  </si>
  <si>
    <t>是/否</t>
    <phoneticPr fontId="1" type="noConversion"/>
  </si>
  <si>
    <t>更新合同-起始日期</t>
    <phoneticPr fontId="1" type="noConversion"/>
  </si>
  <si>
    <t>更新合同-合同期（年）</t>
    <phoneticPr fontId="1" type="noConversion"/>
  </si>
  <si>
    <t>综合-起始日期</t>
    <phoneticPr fontId="1" type="noConversion"/>
  </si>
  <si>
    <t>综合-合同期（年）</t>
    <phoneticPr fontId="1" type="noConversion"/>
  </si>
  <si>
    <t>自动取数</t>
    <phoneticPr fontId="1" type="noConversion"/>
  </si>
  <si>
    <t>现有合同-终止日期</t>
    <phoneticPr fontId="1" type="noConversion"/>
  </si>
  <si>
    <t>更新合同-终止日期</t>
    <phoneticPr fontId="1" type="noConversion"/>
  </si>
  <si>
    <t>综合-终止日期</t>
    <phoneticPr fontId="1" type="noConversion"/>
  </si>
  <si>
    <t>计算规则：【（现有合同-终止日期）-（现有合同-起始日期）】/365</t>
    <phoneticPr fontId="1" type="noConversion"/>
  </si>
  <si>
    <t>取数规则</t>
    <phoneticPr fontId="1" type="noConversion"/>
  </si>
  <si>
    <t>计算规则：【（更新合同-终止日期）-（更新合同-起始日期）】/365</t>
    <phoneticPr fontId="1" type="noConversion"/>
  </si>
  <si>
    <t>取现有合同/更新合同更晚的日期</t>
    <phoneticPr fontId="1" type="noConversion"/>
  </si>
  <si>
    <t>✔</t>
    <phoneticPr fontId="1" type="noConversion"/>
  </si>
  <si>
    <t>单店品牌</t>
    <phoneticPr fontId="1" type="noConversion"/>
  </si>
  <si>
    <t>自动计算</t>
  </si>
  <si>
    <t>当实体代码不为空，取实体代码，否则取虚拟代码</t>
    <phoneticPr fontId="1" type="noConversion"/>
  </si>
  <si>
    <t>手工填写</t>
  </si>
  <si>
    <t>130-Ports 1961_L</t>
  </si>
  <si>
    <t>PINTL</t>
  </si>
  <si>
    <t>210-Ports Gold_M</t>
  </si>
  <si>
    <t>110-Ports Gold_L</t>
  </si>
  <si>
    <t>PW1961</t>
  </si>
  <si>
    <t>120-Ports Pure</t>
  </si>
  <si>
    <t>PURE</t>
  </si>
  <si>
    <t>300-BMW</t>
  </si>
  <si>
    <t>Lifestyle</t>
  </si>
  <si>
    <t>230-Ports V</t>
  </si>
  <si>
    <t>400-Armani</t>
  </si>
  <si>
    <t>LBM</t>
  </si>
  <si>
    <t>970-AMII</t>
  </si>
  <si>
    <t>900-TABI</t>
  </si>
  <si>
    <t>830-PINKO</t>
  </si>
  <si>
    <t>920-Versace</t>
  </si>
  <si>
    <t>商店品牌归属</t>
  </si>
  <si>
    <t>Emporio Armani</t>
  </si>
  <si>
    <t>AMII</t>
  </si>
  <si>
    <t>单店品牌</t>
  </si>
  <si>
    <t>AM</t>
  </si>
  <si>
    <t>Armani Exchange</t>
  </si>
  <si>
    <t>BMW</t>
  </si>
  <si>
    <t>BMW Studio</t>
  </si>
  <si>
    <t>Others</t>
  </si>
  <si>
    <t>PORTS GOLD</t>
  </si>
  <si>
    <t>PW</t>
  </si>
  <si>
    <t>PINKO</t>
  </si>
  <si>
    <t>PORTS 1961</t>
  </si>
  <si>
    <t>PORTS PURE</t>
  </si>
  <si>
    <t>PORTS V</t>
  </si>
  <si>
    <t>PM</t>
  </si>
  <si>
    <t>PV</t>
  </si>
  <si>
    <t>Armani Collez</t>
  </si>
  <si>
    <t>TABI</t>
  </si>
  <si>
    <t>Versace Jeans Couture</t>
  </si>
  <si>
    <t>VC</t>
  </si>
  <si>
    <t>Versace Collection</t>
  </si>
  <si>
    <t>自动匹配</t>
    <phoneticPr fontId="1" type="noConversion"/>
  </si>
  <si>
    <t>自动计算</t>
    <phoneticPr fontId="1" type="noConversion"/>
  </si>
  <si>
    <t>类型：是/否/否-有临时柜</t>
    <phoneticPr fontId="1" type="noConversion"/>
  </si>
  <si>
    <t>日期格式为xxxx-xx-xx，示例：2026-01-26</t>
    <phoneticPr fontId="1" type="noConversion"/>
  </si>
  <si>
    <t>类型：常规实体店、奥莱实体店、Trunkshow、商店特卖会</t>
    <phoneticPr fontId="1" type="noConversion"/>
  </si>
  <si>
    <t>自动计算</t>
    <phoneticPr fontId="1" type="noConversion"/>
  </si>
  <si>
    <t>类型：Regular、Outlets
Regular：常规实体店、Trunkshow
Outlets：奥莱实体店、商店特卖会</t>
    <phoneticPr fontId="1" type="noConversion"/>
  </si>
  <si>
    <t>门店</t>
    <phoneticPr fontId="1" type="noConversion"/>
  </si>
  <si>
    <t>合柜店名称</t>
    <phoneticPr fontId="1" type="noConversion"/>
  </si>
  <si>
    <t>门店名称</t>
  </si>
  <si>
    <t>门店名称</t>
    <phoneticPr fontId="1" type="noConversion"/>
  </si>
  <si>
    <t>BU</t>
    <phoneticPr fontId="1" type="noConversion"/>
  </si>
  <si>
    <t>合柜店品牌</t>
    <phoneticPr fontId="1" type="noConversion"/>
  </si>
  <si>
    <t xml:space="preserve">
商店类型</t>
  </si>
  <si>
    <t xml:space="preserve">
开店日期</t>
  </si>
  <si>
    <t xml:space="preserve">
关店日期</t>
  </si>
  <si>
    <t xml:space="preserve">
重装日期（起）</t>
  </si>
  <si>
    <t xml:space="preserve">
重装日期（止)</t>
  </si>
  <si>
    <t xml:space="preserve">
大区</t>
  </si>
  <si>
    <t>单店代码</t>
    <phoneticPr fontId="1" type="noConversion"/>
  </si>
  <si>
    <t>销售品牌</t>
  </si>
  <si>
    <t>销售品牌</t>
    <phoneticPr fontId="1" type="noConversion"/>
  </si>
  <si>
    <t>渠道重分类</t>
  </si>
  <si>
    <t>渠道重分类</t>
    <phoneticPr fontId="1" type="noConversion"/>
  </si>
  <si>
    <t>全年合计</t>
  </si>
  <si>
    <t xml:space="preserve">
01月</t>
  </si>
  <si>
    <t xml:space="preserve">
02月</t>
  </si>
  <si>
    <t xml:space="preserve">
03月</t>
  </si>
  <si>
    <t xml:space="preserve">
04月</t>
  </si>
  <si>
    <t xml:space="preserve">
05月</t>
  </si>
  <si>
    <t xml:space="preserve">
06月</t>
  </si>
  <si>
    <t xml:space="preserve">
07月</t>
  </si>
  <si>
    <t xml:space="preserve">
08月</t>
  </si>
  <si>
    <t xml:space="preserve">
09月</t>
  </si>
  <si>
    <t xml:space="preserve">
10月</t>
  </si>
  <si>
    <t xml:space="preserve">
11月</t>
  </si>
  <si>
    <t xml:space="preserve">
12月</t>
  </si>
  <si>
    <t>基础信息</t>
    <phoneticPr fontId="1" type="noConversion"/>
  </si>
  <si>
    <t>同期对比</t>
  </si>
  <si>
    <t>变动额</t>
  </si>
  <si>
    <t>变动率</t>
  </si>
  <si>
    <t>PLDE-PORTS合柜女装 大连百年城</t>
  </si>
  <si>
    <t>PLDE-PORTS合柜女装 大连百年城</t>
    <phoneticPr fontId="1" type="noConversion"/>
  </si>
  <si>
    <t>PLDE</t>
  </si>
  <si>
    <t>PMED-PORTS合柜男装 大连百年城</t>
    <phoneticPr fontId="1" type="noConversion"/>
  </si>
  <si>
    <t>PMED</t>
  </si>
  <si>
    <t>Regular</t>
    <phoneticPr fontId="1" type="noConversion"/>
  </si>
  <si>
    <t>老店</t>
  </si>
  <si>
    <t>2003-09-14</t>
  </si>
  <si>
    <t>2019-01-26</t>
  </si>
  <si>
    <t>PINTL正价区</t>
  </si>
  <si>
    <t xml:space="preserve">取数规则：取PRIM实际数+FCST数据结合（即当前时间节点为2025年7月，取1-6月完整月份实际数，+7-12月FCST数据）
</t>
    <phoneticPr fontId="1" type="noConversion"/>
  </si>
  <si>
    <t>计算规则：
1、变动额=26年全年合计-25年全年合计
2、变动率=变动额/25年全年合计</t>
    <phoneticPr fontId="1" type="noConversion"/>
  </si>
  <si>
    <t>财务调整项</t>
    <phoneticPr fontId="1" type="noConversion"/>
  </si>
  <si>
    <t>门店名称</t>
    <phoneticPr fontId="1" type="noConversion"/>
  </si>
  <si>
    <t>综合销售</t>
    <phoneticPr fontId="1" type="noConversion"/>
  </si>
  <si>
    <t>02月</t>
    <phoneticPr fontId="1" type="noConversion"/>
  </si>
  <si>
    <t>取数规则：
1、能在预算门店信息抓取到，取预算门店信息数据
2、抓取不到，则取PRIM实际门店信息</t>
    <phoneticPr fontId="1" type="noConversion"/>
  </si>
  <si>
    <t>取数规则：
1、抓取所有预算门店信息出现的代码
2、匹配25年实际数，如预算门店信息未出现，但25年有销售，需抓取该代码</t>
    <phoneticPr fontId="1" type="noConversion"/>
  </si>
  <si>
    <t>销售品牌规则</t>
    <phoneticPr fontId="1" type="noConversion"/>
  </si>
  <si>
    <t>2、销售品牌可手动增加，即鼠标点到此处，可以出现+号，新增销售品牌，品牌可手动选择（此处权限仅开放给财务，零售不可手动增加）</t>
    <phoneticPr fontId="1" type="noConversion"/>
  </si>
  <si>
    <t>1、建立一个规则，当执行此规则时，系统自动计算单店代码下，有两个或以上销售品牌占总销售额10%以上，则出现超10%以上的销售品牌与其对应销售，否则只显示单店品牌；如若有未超过10%销售品牌的销售仍计入单店品牌</t>
    <phoneticPr fontId="1" type="noConversion"/>
  </si>
  <si>
    <t>1、销售品牌可手动增加，即鼠标点到此处，可以出现+号，新增销售品牌，品牌可手动选择（此处权限仅开放给财务，零售不可手动增加）</t>
    <phoneticPr fontId="1" type="noConversion"/>
  </si>
  <si>
    <t>业务调整项</t>
    <phoneticPr fontId="1" type="noConversion"/>
  </si>
  <si>
    <t>抓取字段：商店查询——合柜店代码</t>
    <phoneticPr fontId="1" type="noConversion"/>
  </si>
  <si>
    <t>抓取字段：商店查询——合柜店名称</t>
    <phoneticPr fontId="1" type="noConversion"/>
  </si>
  <si>
    <t>期初导入：</t>
    <phoneticPr fontId="1" type="noConversion"/>
  </si>
  <si>
    <t>抓取字段：商店查询——商店代码</t>
    <phoneticPr fontId="1" type="noConversion"/>
  </si>
  <si>
    <t>1、导入范围：销售渠道为常规实体店、奥莱实体店、Trunkshow、商店特卖会，并且有当年实际销售或FCST销售数据</t>
    <phoneticPr fontId="1" type="noConversion"/>
  </si>
  <si>
    <t>抓取字段：商店查询——商店品牌归属</t>
    <phoneticPr fontId="1" type="noConversion"/>
  </si>
  <si>
    <t>抓取字段：商店查询——事业部</t>
    <phoneticPr fontId="1" type="noConversion"/>
  </si>
  <si>
    <t>期初导入+手工填写</t>
    <phoneticPr fontId="1" type="noConversion"/>
  </si>
  <si>
    <t>1、类型：Ports Intl、Ports1961、PortsPURE、Lifestyle、LBM
2、依据商店品牌归属&amp;事业部匹配BU，详见《BU&amp;单店品牌对照表》</t>
    <phoneticPr fontId="1" type="noConversion"/>
  </si>
  <si>
    <t>1、类型：PW、PM、PW1961、PURE、BMW、PV、AM、PINKO、Others、VC、AMII
2、依据商店品牌归属&amp;事业部匹配BU，详见《BU&amp;单店品牌对照表》</t>
    <phoneticPr fontId="1" type="noConversion"/>
  </si>
  <si>
    <t>1、类型：老店、重装（移位）、重装（原位）、重装（拆柜）、撤柜、新店、Popup、取消开业、预算年前预计开业、特卖、临时柜、TrunkShow、预算外
2、商店类型期初默认：
   2.1：老店：销售渠道为常规实体店、奥莱实体，并关店时间晚于当年底，即2026-12-31
   2.2：撤柜：销售渠道为常规实体店、奥莱实体，并关店时间在当年期间内，即2026-01-01~2026-12-31
   2.3：Popup：销售渠道为Trunkshow，活动类型为Pop up
   2.4：TrunkShow：销售渠道为Trunkshow，活动类型为Trunk show、In store
   2.5：临时柜：销售渠道为Trunkshow，活动类型为Temp store
   2.6：特卖：销售渠道为商店特卖会</t>
    <phoneticPr fontId="1" type="noConversion"/>
  </si>
  <si>
    <t>1、类型：PW、PM、PW1961、PURE、BMW、PV、AM、PINKO、Others、VC、AMII、合柜
2、规则，当合柜店代码包含"/"或者"厦门工厂奥莱"，则合柜店品牌为"合柜"，否则为单店品牌</t>
    <phoneticPr fontId="1" type="noConversion"/>
  </si>
  <si>
    <t>日期格式为xxxx-xx-xx，示例：2026-01-26，初始导入现有合同时间</t>
    <phoneticPr fontId="1" type="noConversion"/>
  </si>
  <si>
    <t>计算规则：【（综合-终止日期）-（综合-起始日期）】/365</t>
    <phoneticPr fontId="1" type="noConversion"/>
  </si>
  <si>
    <t>抓取字段：商店查询——开店日期</t>
    <phoneticPr fontId="1" type="noConversion"/>
  </si>
  <si>
    <t>抓取字段：商店查询——实际关店</t>
    <phoneticPr fontId="1" type="noConversion"/>
  </si>
  <si>
    <t>类型：参照PRIM现有城市，并提供通道如需增加可手动增加</t>
    <phoneticPr fontId="1" type="noConversion"/>
  </si>
  <si>
    <t>类型：参照PRIM现有经营模式，并提供通道如需增加可手动增加</t>
    <phoneticPr fontId="1" type="noConversion"/>
  </si>
  <si>
    <t>类型：参照PRIM现有门店形象，并提供通道如需增加可手动增加</t>
    <phoneticPr fontId="1" type="noConversion"/>
  </si>
  <si>
    <t>设置一个规则，当预算门店信息填写完毕后，点击该规则，可自动将虚拟代码生成商店资料报表，预算开关店时间录入到预计开关店时间</t>
    <phoneticPr fontId="1" type="noConversion"/>
  </si>
  <si>
    <r>
      <t>类型：参照PRIM现有区域管理组，并提供通道如需增加可手动增加，</t>
    </r>
    <r>
      <rPr>
        <sz val="11"/>
        <color theme="2"/>
        <rFont val="微软雅黑"/>
        <family val="2"/>
        <charset val="134"/>
        <scheme val="minor"/>
      </rPr>
      <t>特别注意：预算期初导入时要备份当前区域管理组，防止后续实际变更影响预算数据</t>
    </r>
    <phoneticPr fontId="1" type="noConversion"/>
  </si>
  <si>
    <r>
      <t>类型：参照PRIM现有大区，并提供通道如需增加可手动增加，</t>
    </r>
    <r>
      <rPr>
        <sz val="11"/>
        <color theme="2"/>
        <rFont val="微软雅黑"/>
        <family val="2"/>
        <charset val="134"/>
        <scheme val="minor"/>
      </rPr>
      <t>特别注意：预算期初导入时要备份当前大区，防止后续实际变更影响预算数据</t>
    </r>
    <phoneticPr fontId="1" type="noConversion"/>
  </si>
  <si>
    <t>合柜店代码下，面积总和</t>
    <phoneticPr fontId="1" type="noConversion"/>
  </si>
  <si>
    <t>商场名称</t>
  </si>
  <si>
    <t>店龄</t>
    <phoneticPr fontId="1" type="noConversion"/>
  </si>
  <si>
    <t>1、类型：假设当年为2026，则：Y24&amp;Before、Y25New、Y26New、Y27New、Close 2027、Closed、取消开业、特卖
2、匹配规则：
     2.1：Y24&amp;Before：开店时间≤2024，且无关店日期
     2.2：Y25New：开店时间=2025，且无关店日期
     2.3：Y26New：开店时间=2026，且无关店日期
     2.4：Y27New：开店时间=2027，且无关店日期
     2.5：Close 2027：关店时间=2027
     2.6：Closed：关店时间&lt;2027
     2.7：取消开业：商店类型="取消开业"
     2.6：特卖：销售渠道="商店特卖会"</t>
    <phoneticPr fontId="1" type="noConversion"/>
  </si>
  <si>
    <t>楼层</t>
    <phoneticPr fontId="1" type="noConversion"/>
  </si>
  <si>
    <t xml:space="preserve">Monthly </t>
    <phoneticPr fontId="1" type="noConversion"/>
  </si>
  <si>
    <t xml:space="preserve">BEP </t>
    <phoneticPr fontId="1" type="noConversion"/>
  </si>
  <si>
    <t xml:space="preserve">Best </t>
    <phoneticPr fontId="1" type="noConversion"/>
  </si>
  <si>
    <t xml:space="preserve">Worse </t>
    <phoneticPr fontId="1" type="noConversion"/>
  </si>
  <si>
    <t>2027年（预算数）</t>
    <phoneticPr fontId="1" type="noConversion"/>
  </si>
  <si>
    <t>2026年（实际数）</t>
    <phoneticPr fontId="1" type="noConversion"/>
  </si>
  <si>
    <t>取数规则：
1、零售手工导入
2、需依据基础信息锁定可填单元格，可填单元格为白色，不可填为灰色。具体如下：
     2.1：开店日期为2027-02-01，则仅开放2-12月销售录入，1月不可填；
     2.2：关店日期为2027-09-30，则仅开放1-9月销售录入，10-12月不可填；
     2.3：重装期是否停业选择“是”，重装日期（起）：2027-03-01，重装日期（止）：2027-03-31，则仅开放1-2月、4-12月销售录入，3月不可填；</t>
    <phoneticPr fontId="1" type="noConversion"/>
  </si>
  <si>
    <t>计算规则：销售额/月次</t>
    <phoneticPr fontId="1" type="noConversion"/>
  </si>
  <si>
    <t xml:space="preserve">Y27 </t>
    <phoneticPr fontId="1" type="noConversion"/>
  </si>
  <si>
    <t>计算规则：抓取OA或者收入组维护盈亏测算，只取年份为预算年销售/月次</t>
    <phoneticPr fontId="1" type="noConversion"/>
  </si>
  <si>
    <t>类型</t>
    <phoneticPr fontId="1" type="noConversion"/>
  </si>
  <si>
    <t>审批销售</t>
  </si>
  <si>
    <t>业务调整项</t>
  </si>
  <si>
    <t>财务调整项</t>
  </si>
  <si>
    <t>综合销售</t>
  </si>
  <si>
    <t>2、期初导入后，不再自动更新PRIM商店最新状态，改为BD手工填写</t>
    <phoneticPr fontId="1" type="noConversion"/>
  </si>
  <si>
    <t>预算门店信息填报表—财务</t>
    <phoneticPr fontId="1" type="noConversion"/>
  </si>
  <si>
    <t>可下拉筛选：审批销售、业务调整项、财务调整项、综合销售</t>
    <phoneticPr fontId="1" type="noConversion"/>
  </si>
  <si>
    <t>表单设置：表单需拆分为两张表格，分别为《预算门店信息填报表—财务》、《预算门店信息填报表》，并需建立联动，即无论再哪张表格修改信息，另外一张也会更新</t>
    <phoneticPr fontId="1" type="noConversion"/>
  </si>
  <si>
    <t>门店销售滚动更新</t>
    <phoneticPr fontId="1" type="noConversion"/>
  </si>
  <si>
    <t>门店销售滚动更新—财务</t>
  </si>
  <si>
    <t>2、需设置滚动覆盖，即当上个月已经新增或减少销售品牌，下个月时自动新增，无需再手动重复增加</t>
    <phoneticPr fontId="1" type="noConversion"/>
  </si>
  <si>
    <t>币种</t>
    <phoneticPr fontId="1" type="noConversion"/>
  </si>
  <si>
    <t>人民币</t>
    <phoneticPr fontId="1" type="noConversion"/>
  </si>
  <si>
    <t>PIVM</t>
  </si>
  <si>
    <t>PIVM-PORTS女装  澳门威尼斯人店</t>
  </si>
  <si>
    <t>澳门币</t>
    <phoneticPr fontId="1" type="noConversion"/>
  </si>
  <si>
    <t>币种取自PRIM</t>
    <phoneticPr fontId="1" type="noConversion"/>
  </si>
  <si>
    <t>货币类型</t>
    <phoneticPr fontId="1" type="noConversion"/>
  </si>
  <si>
    <t>原币</t>
  </si>
  <si>
    <t>可下拉筛选：本币、原币</t>
    <phoneticPr fontId="1" type="noConversion"/>
  </si>
  <si>
    <t>当选本币，其币种不为人民币的，需按系统维护的月初汇率转换成人民币，币种栏都显示为人民币；当选择原币时，即显示原本的币种及金额</t>
    <phoneticPr fontId="1" type="noConversion"/>
  </si>
  <si>
    <t>汇总数据：只汇总门店销售滚动更新的填写数据，不替换为实际数，及该汇总全年数均为手工填报数</t>
    <phoneticPr fontId="1" type="noConversion"/>
  </si>
  <si>
    <t>流程及开放：需设立一个流程和规则，财务每月可手动选择开放哪几个月份给BD填写</t>
    <phoneticPr fontId="1" type="noConversion"/>
  </si>
  <si>
    <t>门店销售滚动更新—汇总</t>
    <phoneticPr fontId="1" type="noConversion"/>
  </si>
  <si>
    <t>表单设置：</t>
    <phoneticPr fontId="1" type="noConversion"/>
  </si>
  <si>
    <t>2、《门店销售滚动更新—财务》、《门店销售滚动更新》需建立联动，即无论哪张表格修改信息，另外一张也会更新</t>
    <phoneticPr fontId="1" type="noConversion"/>
  </si>
  <si>
    <t>1、分为三张表格，《门店销售滚动更新—财务》、《门店销售滚动更新》，《门店销售滚动更新—汇总》</t>
    <phoneticPr fontId="1" type="noConversion"/>
  </si>
  <si>
    <t>滚动覆盖：期初预算结束，需复制预算数据到全年，后续按最新填报数据覆盖上一版本数据，即2月填写3、4月指标数，3月再填写4月指标数时，原始数据为2月填写的4月指标数</t>
    <phoneticPr fontId="1" type="noConversion"/>
  </si>
  <si>
    <t>2026年</t>
    <phoneticPr fontId="1" type="noConversion"/>
  </si>
  <si>
    <t>注：预算数澳门店都为人民币</t>
    <phoneticPr fontId="1" type="noConversion"/>
  </si>
  <si>
    <t>同期对比</t>
    <phoneticPr fontId="1" type="noConversion"/>
  </si>
  <si>
    <t>1、建立一个规则，当执行此规则时，系统自动计算单店代码下，有两个或以上销售品牌占总销售额10%以上，则显示超10%以上的销售品牌与其对应销售，否则只显示单店品牌；如若有未超过10%的销售仍计入单店品牌</t>
    <phoneticPr fontId="1" type="noConversion"/>
  </si>
  <si>
    <t>计算规则：变动率=27预算合计/26年全年合计-1</t>
    <phoneticPr fontId="1" type="noConversion"/>
  </si>
  <si>
    <t>4、提供导入导出式录入，以及线上修改</t>
    <phoneticPr fontId="1" type="noConversion"/>
  </si>
  <si>
    <t>5、增加按代码查询</t>
    <phoneticPr fontId="1" type="noConversion"/>
  </si>
  <si>
    <t>2、与财务表格建立联动，即无论哪张表格修改信息，另外一张也会更新</t>
    <phoneticPr fontId="1" type="noConversion"/>
  </si>
  <si>
    <t>2、与业务表格建立联动，即无论哪张表格修改信息，另外一张也会更新</t>
    <phoneticPr fontId="1" type="noConversion"/>
  </si>
  <si>
    <t>3、显示时基础信息以及分月都收起来，需要看在点加号展开</t>
    <phoneticPr fontId="1" type="noConversion"/>
  </si>
  <si>
    <t xml:space="preserve">取数规则：取PRIM实际数+FCST数据结合（即当前时间节点为2026年7月，取1-6月完整月份实际数，+7-12月FCST数据）
</t>
    <phoneticPr fontId="1" type="noConversion"/>
  </si>
  <si>
    <t>月均销售</t>
    <phoneticPr fontId="1" type="noConversion"/>
  </si>
  <si>
    <t>取数规则：
1、抓取预算门店信息所属BU下的代码
2、匹配25年实际数，如预算门店信息未出现，但25年有销售，需抓取该代码</t>
    <phoneticPr fontId="1" type="noConversion"/>
  </si>
  <si>
    <t>计算规则：
1、BEP、Best、Worse=盈亏测算台账Y27全年销售/经营月次
2、Y27=预算数/月次
注：盈亏预测台账暂未上线</t>
    <phoneticPr fontId="1" type="noConversion"/>
  </si>
  <si>
    <t>自动取数+手工填写</t>
    <phoneticPr fontId="1" type="noConversion"/>
  </si>
  <si>
    <t>新增门店：即点击新增门店，输入实体代码后，能自动抓取PRIM实际数据先填写到对应项目内在提供修改（仅财务有权限增加）</t>
    <phoneticPr fontId="1" type="noConversion"/>
  </si>
  <si>
    <t>事业部</t>
    <phoneticPr fontId="1" type="noConversion"/>
  </si>
  <si>
    <t>抓取字段：商店查询——商场中文全称</t>
    <phoneticPr fontId="1" type="noConversion"/>
  </si>
  <si>
    <t>格式：单店代码-中文全称</t>
    <phoneticPr fontId="1" type="noConversion"/>
  </si>
  <si>
    <t>商店查询—合同信息-实际起始日期（实时更新）</t>
    <phoneticPr fontId="1" type="noConversion"/>
  </si>
  <si>
    <t>商店查询—合同信息-实际终止日期（实时更新）</t>
    <phoneticPr fontId="1" type="noConversion"/>
  </si>
  <si>
    <t>商店资料报表回写：预算门店信息填写完毕后，设置一个规则，执行该规则，对撤柜、重装、新店等信息能回写到所属代码下的商店资料报表中，例如预计关店、预计开店、预计开停业、合柜店代码等信息</t>
    <phoneticPr fontId="1" type="noConversion"/>
  </si>
  <si>
    <t>合柜店名称</t>
  </si>
  <si>
    <t>店龄</t>
  </si>
  <si>
    <t>事业部</t>
  </si>
  <si>
    <t>合柜店品牌</t>
  </si>
  <si>
    <t>楼层</t>
  </si>
  <si>
    <t>现有合同-起始日期</t>
  </si>
  <si>
    <t>现有合同-终止日期</t>
  </si>
  <si>
    <t>现有合同-合同期（年）</t>
  </si>
  <si>
    <t>更新合同-起始日期</t>
  </si>
  <si>
    <t>更新合同-终止日期</t>
  </si>
  <si>
    <t>更新合同-合同期（年）</t>
  </si>
  <si>
    <t>综合-起始日期</t>
  </si>
  <si>
    <t>综合-终止日期</t>
  </si>
  <si>
    <t>综合-合同期（年）</t>
  </si>
  <si>
    <t>预算门店信息填报表—财务</t>
  </si>
  <si>
    <t>预算门店信息填报表</t>
    <phoneticPr fontId="1" type="noConversion"/>
  </si>
  <si>
    <t>具体规则见《预算门店信息填报表-规则》</t>
    <phoneticPr fontId="1" type="noConversion"/>
  </si>
  <si>
    <t>筛选框</t>
    <phoneticPr fontId="1" type="noConversion"/>
  </si>
  <si>
    <t>组织</t>
    <phoneticPr fontId="1" type="noConversion"/>
  </si>
  <si>
    <t>预算年度</t>
    <phoneticPr fontId="1" type="noConversion"/>
  </si>
  <si>
    <t>需后台设置一个控制让财务指定当前预算年度</t>
    <phoneticPr fontId="1" type="noConversion"/>
  </si>
  <si>
    <t>组织类型：Ports Intl、Ports1961、PortsPURE、Lifestyle、LBM</t>
    <phoneticPr fontId="1" type="noConversion"/>
  </si>
  <si>
    <t>滚动年度</t>
  </si>
  <si>
    <t>滚动年度</t>
    <phoneticPr fontId="1" type="noConversion"/>
  </si>
  <si>
    <t>需后台设置一个控制让财务指定当前滚动年度</t>
    <phoneticPr fontId="1" type="noConversion"/>
  </si>
  <si>
    <t>情景</t>
    <phoneticPr fontId="1" type="noConversion"/>
  </si>
  <si>
    <t>1、</t>
    <phoneticPr fontId="1" type="noConversion"/>
  </si>
  <si>
    <t>2、</t>
  </si>
  <si>
    <t>3、</t>
  </si>
  <si>
    <t>4、</t>
  </si>
  <si>
    <t>5、</t>
  </si>
  <si>
    <t>6、</t>
  </si>
  <si>
    <t>7、</t>
  </si>
  <si>
    <t>8、</t>
  </si>
  <si>
    <t>9、</t>
  </si>
  <si>
    <t>10、</t>
  </si>
  <si>
    <t>11、</t>
  </si>
  <si>
    <t>12、</t>
  </si>
  <si>
    <t>1月指标</t>
    <phoneticPr fontId="1" type="noConversion"/>
  </si>
  <si>
    <t>2月指标</t>
  </si>
  <si>
    <t>3月指标</t>
  </si>
  <si>
    <t>4月指标</t>
  </si>
  <si>
    <t>5月指标</t>
  </si>
  <si>
    <t>6月指标</t>
  </si>
  <si>
    <t>7月指标</t>
  </si>
  <si>
    <t>8月指标</t>
  </si>
  <si>
    <t>9月指标</t>
  </si>
  <si>
    <t>10月指标</t>
  </si>
  <si>
    <t>11月指标</t>
  </si>
  <si>
    <t>12月指标</t>
  </si>
  <si>
    <t>13、</t>
  </si>
  <si>
    <t>预算指标</t>
    <phoneticPr fontId="1" type="noConversion"/>
  </si>
  <si>
    <t>组织类型：Ports Intl、Ports1961、PortsPURE、Lifestyle、LBM、Ports-CAPX</t>
    <phoneticPr fontId="1" type="noConversion"/>
  </si>
  <si>
    <t>门店信息滚动更新-规则（FCST）</t>
    <phoneticPr fontId="1" type="noConversion"/>
  </si>
  <si>
    <t>预算门店信息填报表-表样（BGT）</t>
    <phoneticPr fontId="1" type="noConversion"/>
  </si>
  <si>
    <t>预算门店信息填报表-规则（BGT)</t>
    <phoneticPr fontId="1" type="noConversion"/>
  </si>
  <si>
    <t>门店销售预算编制表（财务）-BGT</t>
    <phoneticPr fontId="1" type="noConversion"/>
  </si>
  <si>
    <t>门店销售预算编制表（业务）-BGT</t>
    <phoneticPr fontId="1" type="noConversion"/>
  </si>
  <si>
    <t>门店销售滚动更新(FCST）</t>
    <phoneticPr fontId="1" type="noConversion"/>
  </si>
  <si>
    <t>滚动覆盖：期初预算信息一次性导入FCST，后续按最新填报数据覆盖上一版本数据，即2月填写门店信息，3月再填写时，原始数据为2月填写的数据</t>
    <phoneticPr fontId="1" type="noConversion"/>
  </si>
  <si>
    <t>类型：老店、重装（移位）、重装（原位）、重装（拆柜）、撤柜、新店、Popup、取消开业、预算年前预计开业、特卖、临时柜、TrunkShow、预算外</t>
    <phoneticPr fontId="1" type="noConversion"/>
  </si>
  <si>
    <t>新增手工填写</t>
  </si>
  <si>
    <t>门店信息滚动更新—财务</t>
  </si>
  <si>
    <t>门店信息滚动更新—财务</t>
    <phoneticPr fontId="1" type="noConversion"/>
  </si>
  <si>
    <t>门店信息滚动更新</t>
  </si>
  <si>
    <t>类型：参照PRIM现有大区</t>
    <phoneticPr fontId="1" type="noConversion"/>
  </si>
  <si>
    <t>类型：参照PRIM现有区域管理组</t>
    <phoneticPr fontId="1" type="noConversion"/>
  </si>
  <si>
    <t>具体规则见《门店信息滚动更新-规则》</t>
    <phoneticPr fontId="1" type="noConversion"/>
  </si>
  <si>
    <t>门店信息滚动更新-表样（FCST）</t>
    <phoneticPr fontId="1" type="noConversion"/>
  </si>
  <si>
    <t>需后台设置一个控制让财务指定当前滚动年度</t>
    <phoneticPr fontId="1" type="noConversion"/>
  </si>
  <si>
    <t>项目</t>
    <phoneticPr fontId="1" type="noConversion"/>
  </si>
  <si>
    <t>预算</t>
    <phoneticPr fontId="1" type="noConversion"/>
  </si>
  <si>
    <t>实际</t>
    <phoneticPr fontId="1" type="noConversion"/>
  </si>
  <si>
    <t xml:space="preserve">预实表样&amp;规则说明  </t>
    <phoneticPr fontId="1" type="noConversion"/>
  </si>
  <si>
    <t>1、各编制人点击仅能看到所属BU下的数据</t>
    <phoneticPr fontId="1" type="noConversion"/>
  </si>
  <si>
    <t>3、各编制人点击仅能看到所属BU下的数据</t>
    <phoneticPr fontId="1" type="noConversion"/>
  </si>
  <si>
    <t>销售品牌可选：PW、PM、PW1961、PURE、BMW、PV、AM、PINKO、Others、VC</t>
    <phoneticPr fontId="1" type="noConversion"/>
  </si>
  <si>
    <t>仅显示预算门店信息出现并有实体代码的门店，预算VS实际不一致</t>
    <phoneticPr fontId="1" type="noConversion"/>
  </si>
  <si>
    <t>建立联动，即无论哪张表格修改信息，另外一张也会更新</t>
    <phoneticPr fontId="1" type="noConversion"/>
  </si>
  <si>
    <t>预算门店信息填报表-BD</t>
    <phoneticPr fontId="1" type="noConversion"/>
  </si>
  <si>
    <t>F0202-0201预算年前开业门店信息</t>
    <phoneticPr fontId="1" type="noConversion"/>
  </si>
  <si>
    <t>F1301-0101门店信息滚动更新</t>
  </si>
  <si>
    <t>门店名称</t>
    <phoneticPr fontId="1" type="noConversion"/>
  </si>
  <si>
    <t>实体代码</t>
    <phoneticPr fontId="1" type="noConversion"/>
  </si>
  <si>
    <t>F0302-0201门店销售预算编制表-PINTL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</si>
</sst>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_ * #,##0_ ;_ * \-#,##0_ ;_ * &quot;-&quot;??_ ;_ @_ "/>
    <numFmt numFmtId="177" formatCode="[$¥-804]#,##0;[$¥-804]\-#,##0"/>
  </numFmts>
  <fonts count="22" x14ac:knownFonts="1">
    <font>
      <sz val="11"/>
      <color theme="1"/>
      <name val="微软雅黑"/>
      <family val="2"/>
      <scheme val="minor"/>
    </font>
    <font>
      <sz val="9"/>
      <name val="微软雅黑"/>
      <family val="3"/>
      <charset val="134"/>
      <scheme val="minor"/>
    </font>
    <font>
      <b/>
      <sz val="11"/>
      <color theme="0"/>
      <name val="微软雅黑"/>
      <family val="2"/>
      <charset val="134"/>
      <scheme val="minor"/>
    </font>
    <font>
      <sz val="20"/>
      <color theme="1"/>
      <name val="微软雅黑"/>
      <family val="2"/>
      <charset val="134"/>
      <scheme val="minor"/>
    </font>
    <font>
      <sz val="11"/>
      <color theme="1"/>
      <name val="微软雅黑"/>
      <family val="2"/>
      <scheme val="minor"/>
    </font>
    <font>
      <sz val="11"/>
      <color theme="1"/>
      <name val="Segoe UI Symbol"/>
      <family val="2"/>
    </font>
    <font>
      <b/>
      <sz val="26"/>
      <color theme="1"/>
      <name val="微软雅黑"/>
      <family val="2"/>
      <scheme val="minor"/>
    </font>
    <font>
      <sz val="26"/>
      <color theme="1"/>
      <name val="微软雅黑"/>
      <family val="2"/>
      <charset val="134"/>
      <scheme val="minor"/>
    </font>
    <font>
      <b/>
      <sz val="11"/>
      <color theme="1"/>
      <name val="微软雅黑"/>
      <family val="2"/>
      <charset val="134"/>
      <scheme val="minor"/>
    </font>
    <font>
      <sz val="11"/>
      <color theme="1"/>
      <name val="微软雅黑"/>
      <family val="2"/>
      <charset val="134"/>
      <scheme val="minor"/>
    </font>
    <font>
      <b/>
      <sz val="22"/>
      <color theme="1"/>
      <name val="微软雅黑"/>
      <family val="2"/>
      <scheme val="minor"/>
    </font>
    <font>
      <sz val="22"/>
      <color theme="1"/>
      <name val="微软雅黑"/>
      <family val="2"/>
      <charset val="134"/>
      <scheme val="minor"/>
    </font>
    <font>
      <sz val="11"/>
      <color indexed="8"/>
      <name val="微软雅黑"/>
      <family val="2"/>
      <scheme val="minor"/>
    </font>
    <font>
      <sz val="11"/>
      <color theme="2"/>
      <name val="微软雅黑"/>
      <family val="2"/>
      <scheme val="minor"/>
    </font>
    <font>
      <sz val="11"/>
      <color theme="2"/>
      <name val="微软雅黑"/>
      <family val="2"/>
      <charset val="134"/>
      <scheme val="minor"/>
    </font>
    <font>
      <sz val="11"/>
      <color rgb="FFFF0000"/>
      <name val="微软雅黑"/>
      <family val="2"/>
      <scheme val="minor"/>
    </font>
    <font>
      <b/>
      <sz val="22"/>
      <color theme="1"/>
      <name val="微软雅黑"/>
      <family val="2"/>
      <charset val="134"/>
      <scheme val="minor"/>
    </font>
    <font>
      <sz val="11"/>
      <color theme="0"/>
      <name val="微软雅黑"/>
      <family val="2"/>
      <charset val="134"/>
      <scheme val="minor"/>
    </font>
    <font>
      <sz val="11"/>
      <color theme="0"/>
      <name val="微软雅黑"/>
      <family val="2"/>
      <scheme val="minor"/>
    </font>
    <font>
      <sz val="8"/>
      <color theme="1"/>
      <name val="微软雅黑"/>
      <family val="2"/>
      <scheme val="minor"/>
    </font>
    <font>
      <sz val="11"/>
      <color theme="1"/>
      <name val="微软雅黑"/>
      <family val="3"/>
      <charset val="134"/>
      <scheme val="minor"/>
    </font>
    <font>
      <sz val="11"/>
      <color rgb="FF17ABCB"/>
      <name val="微软雅黑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E6E6E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77" fontId="20" fillId="0" borderId="0"/>
  </cellStyleXfs>
  <cellXfs count="87">
    <xf numFmtId="0" fontId="0" fillId="0" borderId="0" xfId="0"/>
    <xf numFmtId="14" fontId="0" fillId="0" borderId="0" xfId="0" applyNumberFormat="1"/>
    <xf numFmtId="43" fontId="0" fillId="0" borderId="0" xfId="1" applyFont="1" applyAlignme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6" fillId="0" borderId="0" xfId="0" applyNumberFormat="1" applyFont="1" applyAlignment="1">
      <alignment horizontal="centerContinuous" vertical="center"/>
    </xf>
    <xf numFmtId="0" fontId="7" fillId="0" borderId="0" xfId="0" applyNumberFormat="1" applyFont="1" applyAlignment="1">
      <alignment horizontal="centerContinuous" vertical="center"/>
    </xf>
    <xf numFmtId="0" fontId="10" fillId="0" borderId="0" xfId="0" applyNumberFormat="1" applyFont="1" applyAlignment="1">
      <alignment horizontal="centerContinuous" vertical="center"/>
    </xf>
    <xf numFmtId="0" fontId="11" fillId="0" borderId="0" xfId="0" applyNumberFormat="1" applyFont="1" applyAlignment="1">
      <alignment horizontal="centerContinuous" vertical="center"/>
    </xf>
    <xf numFmtId="0" fontId="11" fillId="0" borderId="0" xfId="0" applyFont="1" applyAlignment="1">
      <alignment horizontal="left"/>
    </xf>
    <xf numFmtId="176" fontId="0" fillId="0" borderId="0" xfId="1" applyNumberFormat="1" applyFont="1" applyAlignment="1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Continuous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1" xfId="0" applyFont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wrapText="1"/>
    </xf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9" fillId="0" borderId="1" xfId="0" applyFont="1" applyBorder="1"/>
    <xf numFmtId="0" fontId="0" fillId="0" borderId="1" xfId="0" applyBorder="1"/>
    <xf numFmtId="176" fontId="0" fillId="0" borderId="1" xfId="1" applyNumberFormat="1" applyFont="1" applyBorder="1" applyAlignment="1"/>
    <xf numFmtId="9" fontId="0" fillId="0" borderId="1" xfId="2" applyFont="1" applyBorder="1" applyAlignment="1"/>
    <xf numFmtId="0" fontId="8" fillId="7" borderId="0" xfId="0" applyFont="1" applyFill="1"/>
    <xf numFmtId="0" fontId="0" fillId="0" borderId="1" xfId="0" applyFill="1" applyBorder="1"/>
    <xf numFmtId="176" fontId="0" fillId="0" borderId="1" xfId="1" applyNumberFormat="1" applyFont="1" applyFill="1" applyBorder="1" applyAlignment="1"/>
    <xf numFmtId="0" fontId="0" fillId="0" borderId="0" xfId="0" applyAlignment="1">
      <alignment horizontal="centerContinuous" vertical="center"/>
    </xf>
    <xf numFmtId="176" fontId="0" fillId="0" borderId="0" xfId="1" applyNumberFormat="1" applyFont="1" applyAlignment="1">
      <alignment horizontal="centerContinuous" vertical="center"/>
    </xf>
    <xf numFmtId="176" fontId="0" fillId="0" borderId="0" xfId="0" applyNumberFormat="1" applyBorder="1"/>
    <xf numFmtId="0" fontId="13" fillId="0" borderId="1" xfId="0" applyFont="1" applyBorder="1" applyAlignment="1">
      <alignment vertical="center"/>
    </xf>
    <xf numFmtId="0" fontId="8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5" fillId="0" borderId="0" xfId="0" applyFont="1"/>
    <xf numFmtId="0" fontId="0" fillId="8" borderId="0" xfId="0" applyFill="1"/>
    <xf numFmtId="176" fontId="0" fillId="0" borderId="1" xfId="0" applyNumberFormat="1" applyBorder="1"/>
    <xf numFmtId="0" fontId="9" fillId="0" borderId="1" xfId="0" applyFont="1" applyFill="1" applyBorder="1"/>
    <xf numFmtId="0" fontId="0" fillId="0" borderId="0" xfId="0" applyFont="1"/>
    <xf numFmtId="0" fontId="13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18" fillId="2" borderId="1" xfId="0" applyFont="1" applyFill="1" applyBorder="1"/>
    <xf numFmtId="0" fontId="17" fillId="0" borderId="0" xfId="0" applyFont="1"/>
    <xf numFmtId="0" fontId="0" fillId="7" borderId="0" xfId="0" applyFill="1"/>
    <xf numFmtId="0" fontId="0" fillId="0" borderId="0" xfId="0" applyFill="1"/>
    <xf numFmtId="0" fontId="13" fillId="0" borderId="0" xfId="0" applyFont="1" applyFill="1"/>
    <xf numFmtId="0" fontId="19" fillId="0" borderId="0" xfId="0" applyFont="1" applyFill="1"/>
    <xf numFmtId="176" fontId="0" fillId="0" borderId="0" xfId="1" applyNumberFormat="1" applyFont="1" applyFill="1" applyAlignment="1"/>
    <xf numFmtId="0" fontId="0" fillId="0" borderId="0" xfId="0" applyAlignment="1">
      <alignment horizontal="right" vertical="center"/>
    </xf>
    <xf numFmtId="0" fontId="0" fillId="7" borderId="0" xfId="0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5" fillId="8" borderId="1" xfId="0" applyFont="1" applyFill="1" applyBorder="1"/>
    <xf numFmtId="0" fontId="21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top"/>
    </xf>
    <xf numFmtId="0" fontId="0" fillId="0" borderId="8" xfId="0" applyBorder="1"/>
    <xf numFmtId="0" fontId="0" fillId="0" borderId="7" xfId="0" applyBorder="1"/>
  </cellXfs>
  <cellStyles count="5">
    <cellStyle name="百分比" xfId="2" builtinId="5"/>
    <cellStyle name="常规" xfId="0" builtinId="0"/>
    <cellStyle name="常规 173" xfId="4"/>
    <cellStyle name="常规 2" xfId="3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217488</xdr:colOff>
      <xdr:row>6</xdr:row>
      <xdr:rowOff>178594</xdr:rowOff>
    </xdr:from>
    <xdr:to>
      <xdr:col>4</xdr:col>
      <xdr:colOff>297656</xdr:colOff>
      <xdr:row>11</xdr:row>
      <xdr:rowOff>35719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825BE2DE-1F7F-4171-8ADD-82A25819A07F}"/>
            </a:ext>
          </a:extLst>
        </xdr:cNvPr>
        <xdr:cNvCxnSpPr/>
      </xdr:nvCxnSpPr>
      <xdr:spPr>
        <a:xfrm>
          <a:off x="4372769" y="1238250"/>
          <a:ext cx="842168" cy="2286000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231094</xdr:colOff>
      <xdr:row>1</xdr:row>
      <xdr:rowOff>409690</xdr:rowOff>
    </xdr:from>
    <xdr:to>
      <xdr:col>9</xdr:col>
      <xdr:colOff>84818</xdr:colOff>
      <xdr:row>9</xdr:row>
      <xdr:rowOff>285750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2DA6838-3302-452B-8A13-09D86AC91F49}"/>
            </a:ext>
          </a:extLst>
        </xdr:cNvPr>
        <xdr:cNvSpPr/>
      </xdr:nvSpPr>
      <xdr:spPr>
        <a:xfrm>
          <a:off x="18355808" y="491333"/>
          <a:ext cx="2901724" cy="1985167"/>
        </a:xfrm>
        <a:prstGeom prst="rect">
          <a:avLst/>
        </a:prstGeom>
        <a:noFill/>
        <a:ln w="381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666750</xdr:colOff>
      <xdr:row>6</xdr:row>
      <xdr:rowOff>135222</xdr:rowOff>
    </xdr:from>
    <xdr:to>
      <xdr:col>5</xdr:col>
      <xdr:colOff>231094</xdr:colOff>
      <xdr:row>6</xdr:row>
      <xdr:rowOff>190500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7BD19A29-0921-40CB-978B-3D90C3C3EF93}"/>
            </a:ext>
          </a:extLst>
        </xdr:cNvPr>
        <xdr:cNvCxnSpPr>
          <a:endCxn id="2" idx="1"/>
        </xdr:cNvCxnSpPr>
      </xdr:nvCxnSpPr>
      <xdr:spPr>
        <a:xfrm flipV="1">
          <a:off x="666750" y="1482329"/>
          <a:ext cx="17689058" cy="55278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220663</xdr:colOff>
      <xdr:row>14</xdr:row>
      <xdr:rowOff>181769</xdr:rowOff>
    </xdr:from>
    <xdr:to>
      <xdr:col>3</xdr:col>
      <xdr:colOff>571500</xdr:colOff>
      <xdr:row>18</xdr:row>
      <xdr:rowOff>166687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78421244-B3F8-4045-9074-36C12900D4C7}"/>
            </a:ext>
          </a:extLst>
        </xdr:cNvPr>
        <xdr:cNvCxnSpPr/>
      </xdr:nvCxnSpPr>
      <xdr:spPr>
        <a:xfrm>
          <a:off x="4375944" y="2312988"/>
          <a:ext cx="350837" cy="2854324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220663</xdr:colOff>
      <xdr:row>14</xdr:row>
      <xdr:rowOff>181769</xdr:rowOff>
    </xdr:from>
    <xdr:to>
      <xdr:col>3</xdr:col>
      <xdr:colOff>571500</xdr:colOff>
      <xdr:row>18</xdr:row>
      <xdr:rowOff>166687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4BAE0568-6E0C-4E75-952B-5006C6E3F587}"/>
            </a:ext>
          </a:extLst>
        </xdr:cNvPr>
        <xdr:cNvCxnSpPr/>
      </xdr:nvCxnSpPr>
      <xdr:spPr>
        <a:xfrm>
          <a:off x="4370388" y="3102769"/>
          <a:ext cx="354012" cy="2842418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17</xdr:row>
      <xdr:rowOff>158750</xdr:rowOff>
    </xdr:from>
    <xdr:to>
      <xdr:col>5</xdr:col>
      <xdr:colOff>66675</xdr:colOff>
      <xdr:row>20</xdr:row>
      <xdr:rowOff>28575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4DF712C5-386C-405D-9365-2D4B2ED86513}"/>
            </a:ext>
          </a:extLst>
        </xdr:cNvPr>
        <xdr:cNvCxnSpPr/>
      </xdr:nvCxnSpPr>
      <xdr:spPr>
        <a:xfrm>
          <a:off x="6486525" y="1339850"/>
          <a:ext cx="476250" cy="498475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530225</xdr:colOff>
      <xdr:row>22</xdr:row>
      <xdr:rowOff>57150</xdr:rowOff>
    </xdr:from>
    <xdr:to>
      <xdr:col>5</xdr:col>
      <xdr:colOff>19050</xdr:colOff>
      <xdr:row>23</xdr:row>
      <xdr:rowOff>168276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AD31B75C-DBA6-4415-BFCC-2D167A743BBC}"/>
            </a:ext>
          </a:extLst>
        </xdr:cNvPr>
        <xdr:cNvCxnSpPr/>
      </xdr:nvCxnSpPr>
      <xdr:spPr>
        <a:xfrm flipV="1">
          <a:off x="6388100" y="2286000"/>
          <a:ext cx="527050" cy="320676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19</xdr:row>
      <xdr:rowOff>19050</xdr:rowOff>
    </xdr:from>
    <xdr:to>
      <xdr:col>3</xdr:col>
      <xdr:colOff>457200</xdr:colOff>
      <xdr:row>20</xdr:row>
      <xdr:rowOff>133350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4E49902B-01BD-47A2-82FA-7C6E505123DB}"/>
            </a:ext>
          </a:extLst>
        </xdr:cNvPr>
        <xdr:cNvCxnSpPr/>
      </xdr:nvCxnSpPr>
      <xdr:spPr>
        <a:xfrm>
          <a:off x="5086350" y="1619250"/>
          <a:ext cx="247650" cy="323850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726282</xdr:colOff>
      <xdr:row>4</xdr:row>
      <xdr:rowOff>8731</xdr:rowOff>
    </xdr:from>
    <xdr:to>
      <xdr:col>16</xdr:col>
      <xdr:colOff>95250</xdr:colOff>
      <xdr:row>10</xdr:row>
      <xdr:rowOff>166687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1CC42378-328C-479E-B87D-BAD5C77A105F}"/>
            </a:ext>
          </a:extLst>
        </xdr:cNvPr>
        <xdr:cNvCxnSpPr/>
      </xdr:nvCxnSpPr>
      <xdr:spPr>
        <a:xfrm>
          <a:off x="10251282" y="830262"/>
          <a:ext cx="5607843" cy="1515269"/>
        </a:xfrm>
        <a:prstGeom prst="straightConnector1">
          <a:avLst/>
        </a:prstGeom>
        <a:ln>
          <a:solidFill>
            <a:schemeClr val="bg2"/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122237</xdr:colOff>
      <xdr:row>5</xdr:row>
      <xdr:rowOff>8731</xdr:rowOff>
    </xdr:from>
    <xdr:to>
      <xdr:col>18</xdr:col>
      <xdr:colOff>44450</xdr:colOff>
      <xdr:row>19</xdr:row>
      <xdr:rowOff>163286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3031E21D-9E8E-4216-B0D0-9C279961F230}"/>
            </a:ext>
          </a:extLst>
        </xdr:cNvPr>
        <xdr:cNvSpPr/>
      </xdr:nvSpPr>
      <xdr:spPr>
        <a:xfrm>
          <a:off x="15906523" y="1138124"/>
          <a:ext cx="1296534" cy="3420269"/>
        </a:xfrm>
        <a:prstGeom prst="rect">
          <a:avLst/>
        </a:prstGeom>
        <a:noFill/>
        <a:ln w="381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2" name="表2" displayName="表2" ref="A1:D15" totalsRowShown="0">
  <autoFilter ref="A1:D15"/>
  <tableColumns count="4">
    <tableColumn id="1" name="商店品牌归属"/>
    <tableColumn id="2" name="事业部"/>
    <tableColumn id="3" name="单店品牌"/>
    <tableColumn id="4" name="BU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ORTS-2">
      <a:dk1>
        <a:sysClr val="windowText" lastClr="000000"/>
      </a:dk1>
      <a:lt1>
        <a:sysClr val="window" lastClr="FFFFFF"/>
      </a:lt1>
      <a:dk2>
        <a:srgbClr val="373545"/>
      </a:dk2>
      <a:lt2>
        <a:srgbClr val="FF0000"/>
      </a:lt2>
      <a:accent1>
        <a:srgbClr val="266F8B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ports">
      <a:majorFont>
        <a:latin typeface="Arial Black"/>
        <a:ea typeface="微软雅黑"/>
        <a:cs typeface=""/>
      </a:majorFont>
      <a:minorFont>
        <a:latin typeface="Arial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17"/>
  <sheetViews>
    <sheetView showGridLines="0" topLeftCell="C1" zoomScale="115" zoomScaleNormal="115" workbookViewId="0">
      <selection activeCell="F17" sqref="F17"/>
    </sheetView>
  </sheetViews>
  <sheetFormatPr defaultRowHeight="16.5" x14ac:dyDescent="0.3"/>
  <sheetData>
    <row r="1" spans="1:41" ht="6" customHeight="1" x14ac:dyDescent="0.3">
      <c r="A1" s="3"/>
      <c r="B1" s="3"/>
      <c r="C1" s="3"/>
      <c r="D1" s="3"/>
    </row>
    <row r="2" spans="1:41" s="10" customFormat="1" ht="36.75" x14ac:dyDescent="0.45">
      <c r="A2" s="10" t="s">
        <v>319</v>
      </c>
      <c r="B2" s="12"/>
      <c r="C2" s="12"/>
      <c r="D2" s="12"/>
      <c r="L2" s="11" t="s">
        <v>293</v>
      </c>
    </row>
    <row r="3" spans="1:41" ht="5.0999999999999996" customHeight="1" x14ac:dyDescent="0.3"/>
    <row r="4" spans="1:41" ht="19.5" customHeight="1" x14ac:dyDescent="0.3">
      <c r="A4" s="50" t="s">
        <v>255</v>
      </c>
      <c r="E4" s="61" t="s">
        <v>259</v>
      </c>
    </row>
    <row r="5" spans="1:41" ht="19.5" customHeight="1" x14ac:dyDescent="0.3">
      <c r="A5" t="s">
        <v>256</v>
      </c>
      <c r="B5" s="59" t="s">
        <v>257</v>
      </c>
      <c r="C5" s="59"/>
      <c r="E5" s="59" t="s">
        <v>258</v>
      </c>
      <c r="F5" s="59"/>
      <c r="H5" s="59" t="s">
        <v>97</v>
      </c>
      <c r="I5" s="59"/>
    </row>
    <row r="6" spans="1:41" s="60" customFormat="1" ht="19.5" customHeight="1" x14ac:dyDescent="0.3">
      <c r="B6" s="62" t="s">
        <v>291</v>
      </c>
    </row>
    <row r="7" spans="1:41" s="60" customFormat="1" ht="6.6" customHeight="1" x14ac:dyDescent="0.3"/>
    <row r="8" spans="1:41" x14ac:dyDescent="0.3">
      <c r="A8" s="46" t="s">
        <v>253</v>
      </c>
    </row>
    <row r="9" spans="1:41" s="58" customFormat="1" x14ac:dyDescent="0.3">
      <c r="A9" s="57" t="s">
        <v>96</v>
      </c>
      <c r="B9" s="57" t="s">
        <v>5</v>
      </c>
      <c r="C9" s="57" t="s">
        <v>6</v>
      </c>
      <c r="D9" s="57" t="s">
        <v>7</v>
      </c>
      <c r="E9" s="57" t="s">
        <v>8</v>
      </c>
      <c r="F9" s="57" t="s">
        <v>239</v>
      </c>
      <c r="G9" s="57" t="s">
        <v>9</v>
      </c>
      <c r="H9" s="82" t="s">
        <v>240</v>
      </c>
      <c r="I9" s="57" t="s">
        <v>4</v>
      </c>
      <c r="J9" s="57" t="s">
        <v>65</v>
      </c>
      <c r="K9" s="57" t="s">
        <v>241</v>
      </c>
      <c r="L9" s="57" t="s">
        <v>68</v>
      </c>
      <c r="M9" s="82" t="s">
        <v>242</v>
      </c>
      <c r="N9" s="57" t="s">
        <v>174</v>
      </c>
      <c r="O9" s="57" t="s">
        <v>243</v>
      </c>
      <c r="P9" s="57" t="s">
        <v>244</v>
      </c>
      <c r="Q9" s="57" t="s">
        <v>245</v>
      </c>
      <c r="R9" s="57" t="s">
        <v>246</v>
      </c>
      <c r="S9" s="57" t="s">
        <v>10</v>
      </c>
      <c r="T9" s="57" t="s">
        <v>247</v>
      </c>
      <c r="U9" s="57" t="s">
        <v>248</v>
      </c>
      <c r="V9" s="57" t="s">
        <v>249</v>
      </c>
      <c r="W9" s="57" t="s">
        <v>250</v>
      </c>
      <c r="X9" s="57" t="s">
        <v>251</v>
      </c>
      <c r="Y9" s="57" t="s">
        <v>252</v>
      </c>
      <c r="Z9" s="57" t="s">
        <v>11</v>
      </c>
      <c r="AA9" s="57" t="s">
        <v>12</v>
      </c>
      <c r="AB9" s="57" t="s">
        <v>13</v>
      </c>
      <c r="AC9" s="57" t="s">
        <v>14</v>
      </c>
      <c r="AD9" s="57" t="s">
        <v>15</v>
      </c>
      <c r="AE9" s="57" t="s">
        <v>16</v>
      </c>
      <c r="AF9" s="57" t="s">
        <v>17</v>
      </c>
      <c r="AG9" s="57" t="s">
        <v>18</v>
      </c>
      <c r="AH9" s="57" t="s">
        <v>109</v>
      </c>
      <c r="AI9" s="57" t="s">
        <v>19</v>
      </c>
      <c r="AJ9" s="57" t="s">
        <v>20</v>
      </c>
      <c r="AK9" s="57" t="s">
        <v>21</v>
      </c>
      <c r="AL9" s="57" t="s">
        <v>22</v>
      </c>
      <c r="AM9" s="57" t="s">
        <v>23</v>
      </c>
      <c r="AN9" s="57" t="s">
        <v>24</v>
      </c>
      <c r="AO9" s="57" t="s">
        <v>25</v>
      </c>
    </row>
    <row r="10" spans="1:4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</row>
    <row r="11" spans="1:4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</row>
    <row r="13" spans="1:41" x14ac:dyDescent="0.3">
      <c r="A13" s="46" t="s">
        <v>318</v>
      </c>
    </row>
    <row r="14" spans="1:41" x14ac:dyDescent="0.3">
      <c r="A14" s="57" t="s">
        <v>96</v>
      </c>
      <c r="B14" s="57" t="s">
        <v>5</v>
      </c>
      <c r="C14" s="57" t="s">
        <v>6</v>
      </c>
      <c r="D14" s="57" t="s">
        <v>7</v>
      </c>
      <c r="E14" s="57" t="s">
        <v>8</v>
      </c>
      <c r="F14" s="57" t="s">
        <v>239</v>
      </c>
      <c r="G14" s="57" t="s">
        <v>9</v>
      </c>
      <c r="H14" s="57" t="s">
        <v>4</v>
      </c>
      <c r="I14" s="57" t="s">
        <v>65</v>
      </c>
      <c r="J14" s="57" t="s">
        <v>241</v>
      </c>
      <c r="K14" s="57" t="s">
        <v>68</v>
      </c>
      <c r="L14" s="57" t="s">
        <v>174</v>
      </c>
      <c r="M14" s="57" t="s">
        <v>243</v>
      </c>
      <c r="N14" s="82" t="s">
        <v>10</v>
      </c>
      <c r="O14" s="57" t="s">
        <v>247</v>
      </c>
      <c r="P14" s="57" t="s">
        <v>248</v>
      </c>
      <c r="Q14" s="57" t="s">
        <v>249</v>
      </c>
      <c r="R14" s="57" t="s">
        <v>11</v>
      </c>
      <c r="S14" s="57" t="s">
        <v>12</v>
      </c>
      <c r="T14" s="57" t="s">
        <v>13</v>
      </c>
      <c r="U14" s="57" t="s">
        <v>14</v>
      </c>
      <c r="V14" s="57" t="s">
        <v>15</v>
      </c>
      <c r="W14" s="57" t="s">
        <v>16</v>
      </c>
      <c r="X14" s="57" t="s">
        <v>17</v>
      </c>
      <c r="Y14" s="57" t="s">
        <v>18</v>
      </c>
      <c r="Z14" s="57" t="s">
        <v>19</v>
      </c>
      <c r="AA14" s="57" t="s">
        <v>20</v>
      </c>
      <c r="AB14" s="57" t="s">
        <v>21</v>
      </c>
      <c r="AC14" s="57" t="s">
        <v>22</v>
      </c>
      <c r="AD14" s="57" t="s">
        <v>23</v>
      </c>
      <c r="AE14" s="57" t="s">
        <v>24</v>
      </c>
      <c r="AF14" s="57" t="s">
        <v>25</v>
      </c>
    </row>
    <row r="15" spans="1:4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4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:32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showGridLines="0" zoomScale="85" zoomScaleNormal="85" workbookViewId="0">
      <pane xSplit="1" ySplit="9" topLeftCell="B10" activePane="bottomRight" state="frozen"/>
      <selection pane="topRight" activeCell="B1" sqref="B1"/>
      <selection pane="bottomLeft" activeCell="A13" sqref="A13"/>
      <selection pane="bottomRight" activeCell="D17" sqref="D17"/>
    </sheetView>
  </sheetViews>
  <sheetFormatPr defaultRowHeight="16.5" x14ac:dyDescent="0.3"/>
  <cols>
    <col min="1" max="1" width="26.77734375" style="3" customWidth="1"/>
    <col min="2" max="2" width="37.44140625" style="3" customWidth="1"/>
    <col min="3" max="3" width="11.33203125" style="3" customWidth="1"/>
    <col min="4" max="4" width="132.6640625" style="3" customWidth="1"/>
    <col min="5" max="5" width="11.33203125" bestFit="1" customWidth="1"/>
  </cols>
  <sheetData>
    <row r="1" spans="1:4" ht="6" customHeight="1" x14ac:dyDescent="0.3"/>
    <row r="2" spans="1:4" s="10" customFormat="1" ht="36.75" x14ac:dyDescent="0.45">
      <c r="A2" s="11" t="s">
        <v>294</v>
      </c>
      <c r="B2" s="12"/>
      <c r="C2" s="12"/>
      <c r="D2" s="12"/>
    </row>
    <row r="3" spans="1:4" ht="21" customHeight="1" x14ac:dyDescent="0.3">
      <c r="A3" t="s">
        <v>153</v>
      </c>
    </row>
    <row r="4" spans="1:4" ht="23.45" customHeight="1" x14ac:dyDescent="0.3">
      <c r="A4" t="s">
        <v>155</v>
      </c>
    </row>
    <row r="5" spans="1:4" ht="23.45" customHeight="1" x14ac:dyDescent="0.3">
      <c r="A5" t="s">
        <v>193</v>
      </c>
    </row>
    <row r="6" spans="1:4" ht="23.45" customHeight="1" x14ac:dyDescent="0.3">
      <c r="A6" s="50" t="s">
        <v>232</v>
      </c>
    </row>
    <row r="7" spans="1:4" ht="23.45" customHeight="1" x14ac:dyDescent="0.3">
      <c r="A7" s="45" t="s">
        <v>238</v>
      </c>
    </row>
    <row r="8" spans="1:4" ht="23.45" customHeight="1" x14ac:dyDescent="0.3">
      <c r="A8" s="45" t="s">
        <v>196</v>
      </c>
    </row>
    <row r="9" spans="1:4" s="43" customFormat="1" ht="30" x14ac:dyDescent="0.3">
      <c r="A9" s="44" t="s">
        <v>194</v>
      </c>
      <c r="B9" s="42" t="s">
        <v>41</v>
      </c>
      <c r="C9" s="44" t="s">
        <v>254</v>
      </c>
      <c r="D9" s="41" t="s">
        <v>27</v>
      </c>
    </row>
    <row r="10" spans="1:4" x14ac:dyDescent="0.3">
      <c r="A10" s="4" t="s">
        <v>97</v>
      </c>
      <c r="B10" s="5" t="s">
        <v>231</v>
      </c>
      <c r="C10" s="6" t="s">
        <v>44</v>
      </c>
      <c r="D10" s="7" t="s">
        <v>235</v>
      </c>
    </row>
    <row r="11" spans="1:4" x14ac:dyDescent="0.3">
      <c r="A11" s="4" t="s">
        <v>5</v>
      </c>
      <c r="B11" s="5" t="s">
        <v>46</v>
      </c>
      <c r="C11" s="6" t="s">
        <v>44</v>
      </c>
      <c r="D11" s="4" t="s">
        <v>47</v>
      </c>
    </row>
    <row r="12" spans="1:4" x14ac:dyDescent="0.3">
      <c r="A12" s="4" t="s">
        <v>6</v>
      </c>
      <c r="B12" s="5" t="s">
        <v>158</v>
      </c>
      <c r="C12" s="6" t="s">
        <v>44</v>
      </c>
      <c r="D12" s="7" t="s">
        <v>154</v>
      </c>
    </row>
    <row r="13" spans="1:4" x14ac:dyDescent="0.3">
      <c r="A13" s="8" t="s">
        <v>7</v>
      </c>
      <c r="B13" s="5" t="s">
        <v>48</v>
      </c>
      <c r="C13" s="6" t="s">
        <v>44</v>
      </c>
      <c r="D13" s="37" t="s">
        <v>170</v>
      </c>
    </row>
    <row r="14" spans="1:4" x14ac:dyDescent="0.3">
      <c r="A14" s="8" t="s">
        <v>8</v>
      </c>
      <c r="B14" s="5" t="s">
        <v>158</v>
      </c>
      <c r="C14" s="6" t="s">
        <v>44</v>
      </c>
      <c r="D14" s="7" t="s">
        <v>151</v>
      </c>
    </row>
    <row r="15" spans="1:4" x14ac:dyDescent="0.3">
      <c r="A15" s="8" t="s">
        <v>95</v>
      </c>
      <c r="B15" s="5" t="s">
        <v>158</v>
      </c>
      <c r="C15" s="6" t="s">
        <v>44</v>
      </c>
      <c r="D15" s="7" t="s">
        <v>152</v>
      </c>
    </row>
    <row r="16" spans="1:4" ht="151.5" customHeight="1" x14ac:dyDescent="0.3">
      <c r="A16" s="8" t="s">
        <v>9</v>
      </c>
      <c r="B16" s="5" t="s">
        <v>158</v>
      </c>
      <c r="C16" s="6" t="s">
        <v>44</v>
      </c>
      <c r="D16" s="7" t="s">
        <v>161</v>
      </c>
    </row>
    <row r="17" spans="1:5" ht="178.5" customHeight="1" x14ac:dyDescent="0.3">
      <c r="A17" s="8" t="s">
        <v>175</v>
      </c>
      <c r="B17" s="5" t="s">
        <v>87</v>
      </c>
      <c r="C17" s="6"/>
      <c r="D17" s="7" t="s">
        <v>176</v>
      </c>
    </row>
    <row r="18" spans="1:5" ht="33" x14ac:dyDescent="0.3">
      <c r="A18" s="8" t="s">
        <v>98</v>
      </c>
      <c r="B18" s="5" t="s">
        <v>87</v>
      </c>
      <c r="C18" s="6" t="s">
        <v>44</v>
      </c>
      <c r="D18" s="7" t="s">
        <v>159</v>
      </c>
    </row>
    <row r="19" spans="1:5" x14ac:dyDescent="0.3">
      <c r="A19" s="8" t="s">
        <v>65</v>
      </c>
      <c r="B19" s="5" t="s">
        <v>158</v>
      </c>
      <c r="C19" s="6" t="s">
        <v>44</v>
      </c>
      <c r="D19" s="7" t="s">
        <v>156</v>
      </c>
    </row>
    <row r="20" spans="1:5" x14ac:dyDescent="0.3">
      <c r="A20" s="8" t="s">
        <v>233</v>
      </c>
      <c r="B20" s="5" t="s">
        <v>158</v>
      </c>
      <c r="C20" s="6" t="s">
        <v>44</v>
      </c>
      <c r="D20" s="7" t="s">
        <v>157</v>
      </c>
    </row>
    <row r="21" spans="1:5" ht="33" x14ac:dyDescent="0.3">
      <c r="A21" s="8" t="s">
        <v>45</v>
      </c>
      <c r="B21" s="5" t="s">
        <v>87</v>
      </c>
      <c r="C21" s="6" t="s">
        <v>44</v>
      </c>
      <c r="D21" s="7" t="s">
        <v>160</v>
      </c>
    </row>
    <row r="22" spans="1:5" ht="33" x14ac:dyDescent="0.3">
      <c r="A22" s="8" t="s">
        <v>99</v>
      </c>
      <c r="B22" s="5" t="s">
        <v>87</v>
      </c>
      <c r="C22" s="6"/>
      <c r="D22" s="7" t="s">
        <v>162</v>
      </c>
    </row>
    <row r="23" spans="1:5" x14ac:dyDescent="0.3">
      <c r="A23" s="8" t="s">
        <v>174</v>
      </c>
      <c r="B23" s="5" t="s">
        <v>158</v>
      </c>
      <c r="C23" s="6" t="s">
        <v>44</v>
      </c>
      <c r="D23" s="7" t="s">
        <v>234</v>
      </c>
    </row>
    <row r="24" spans="1:5" x14ac:dyDescent="0.3">
      <c r="A24" s="8" t="s">
        <v>177</v>
      </c>
      <c r="B24" s="5" t="s">
        <v>158</v>
      </c>
      <c r="C24" s="6" t="s">
        <v>44</v>
      </c>
      <c r="D24" s="7" t="s">
        <v>234</v>
      </c>
    </row>
    <row r="25" spans="1:5" x14ac:dyDescent="0.3">
      <c r="A25" s="8" t="s">
        <v>29</v>
      </c>
      <c r="B25" s="9" t="s">
        <v>236</v>
      </c>
      <c r="C25" s="6"/>
      <c r="D25" s="4" t="s">
        <v>90</v>
      </c>
    </row>
    <row r="26" spans="1:5" x14ac:dyDescent="0.3">
      <c r="A26" s="8" t="s">
        <v>37</v>
      </c>
      <c r="B26" s="9" t="s">
        <v>237</v>
      </c>
      <c r="C26" s="6"/>
      <c r="D26" s="4" t="s">
        <v>90</v>
      </c>
    </row>
    <row r="27" spans="1:5" x14ac:dyDescent="0.3">
      <c r="A27" s="8" t="s">
        <v>28</v>
      </c>
      <c r="B27" s="9" t="s">
        <v>30</v>
      </c>
      <c r="C27" s="6"/>
      <c r="D27" s="8" t="s">
        <v>40</v>
      </c>
      <c r="E27" s="1"/>
    </row>
    <row r="28" spans="1:5" x14ac:dyDescent="0.3">
      <c r="A28" s="8" t="s">
        <v>10</v>
      </c>
      <c r="B28" s="9" t="s">
        <v>26</v>
      </c>
      <c r="C28" s="6" t="s">
        <v>44</v>
      </c>
      <c r="D28" s="8" t="s">
        <v>31</v>
      </c>
      <c r="E28" s="2"/>
    </row>
    <row r="29" spans="1:5" x14ac:dyDescent="0.3">
      <c r="A29" s="8" t="s">
        <v>32</v>
      </c>
      <c r="B29" s="9" t="s">
        <v>26</v>
      </c>
      <c r="C29" s="6" t="s">
        <v>44</v>
      </c>
      <c r="D29" s="4" t="s">
        <v>163</v>
      </c>
    </row>
    <row r="30" spans="1:5" x14ac:dyDescent="0.3">
      <c r="A30" s="8" t="s">
        <v>38</v>
      </c>
      <c r="B30" s="9" t="s">
        <v>26</v>
      </c>
      <c r="C30" s="6" t="s">
        <v>44</v>
      </c>
      <c r="D30" s="4" t="s">
        <v>163</v>
      </c>
      <c r="E30" s="1"/>
    </row>
    <row r="31" spans="1:5" x14ac:dyDescent="0.3">
      <c r="A31" s="8" t="s">
        <v>33</v>
      </c>
      <c r="B31" s="9" t="s">
        <v>30</v>
      </c>
      <c r="C31" s="6" t="s">
        <v>44</v>
      </c>
      <c r="D31" s="8" t="s">
        <v>42</v>
      </c>
    </row>
    <row r="32" spans="1:5" x14ac:dyDescent="0.3">
      <c r="A32" s="8" t="s">
        <v>34</v>
      </c>
      <c r="B32" s="9" t="s">
        <v>36</v>
      </c>
      <c r="C32" s="6"/>
      <c r="D32" s="8" t="s">
        <v>43</v>
      </c>
    </row>
    <row r="33" spans="1:4" x14ac:dyDescent="0.3">
      <c r="A33" s="8" t="s">
        <v>39</v>
      </c>
      <c r="B33" s="9" t="s">
        <v>36</v>
      </c>
      <c r="C33" s="6"/>
      <c r="D33" s="8" t="s">
        <v>43</v>
      </c>
    </row>
    <row r="34" spans="1:4" x14ac:dyDescent="0.3">
      <c r="A34" s="8" t="s">
        <v>35</v>
      </c>
      <c r="B34" s="9" t="s">
        <v>30</v>
      </c>
      <c r="C34" s="6"/>
      <c r="D34" s="8" t="s">
        <v>164</v>
      </c>
    </row>
    <row r="35" spans="1:4" x14ac:dyDescent="0.3">
      <c r="A35" s="8" t="s">
        <v>11</v>
      </c>
      <c r="B35" s="5" t="s">
        <v>158</v>
      </c>
      <c r="C35" s="6" t="s">
        <v>44</v>
      </c>
      <c r="D35" s="7" t="s">
        <v>165</v>
      </c>
    </row>
    <row r="36" spans="1:4" x14ac:dyDescent="0.3">
      <c r="A36" s="8" t="s">
        <v>12</v>
      </c>
      <c r="B36" s="5" t="s">
        <v>158</v>
      </c>
      <c r="C36" s="6" t="s">
        <v>44</v>
      </c>
      <c r="D36" s="7" t="s">
        <v>166</v>
      </c>
    </row>
    <row r="37" spans="1:4" x14ac:dyDescent="0.3">
      <c r="A37" s="8" t="s">
        <v>13</v>
      </c>
      <c r="B37" s="5" t="s">
        <v>48</v>
      </c>
      <c r="C37" s="6" t="s">
        <v>44</v>
      </c>
      <c r="D37" s="4" t="s">
        <v>90</v>
      </c>
    </row>
    <row r="38" spans="1:4" x14ac:dyDescent="0.3">
      <c r="A38" s="8" t="s">
        <v>14</v>
      </c>
      <c r="B38" s="5" t="s">
        <v>48</v>
      </c>
      <c r="C38" s="6" t="s">
        <v>44</v>
      </c>
      <c r="D38" s="4" t="s">
        <v>90</v>
      </c>
    </row>
    <row r="39" spans="1:4" x14ac:dyDescent="0.3">
      <c r="A39" s="8" t="s">
        <v>15</v>
      </c>
      <c r="B39" s="5" t="s">
        <v>48</v>
      </c>
      <c r="C39" s="6" t="s">
        <v>44</v>
      </c>
      <c r="D39" s="4" t="s">
        <v>89</v>
      </c>
    </row>
    <row r="40" spans="1:4" x14ac:dyDescent="0.3">
      <c r="A40" s="8" t="s">
        <v>16</v>
      </c>
      <c r="B40" s="5" t="s">
        <v>158</v>
      </c>
      <c r="C40" s="6" t="s">
        <v>44</v>
      </c>
      <c r="D40" s="4" t="s">
        <v>172</v>
      </c>
    </row>
    <row r="41" spans="1:4" x14ac:dyDescent="0.3">
      <c r="A41" s="8" t="s">
        <v>17</v>
      </c>
      <c r="B41" s="5" t="s">
        <v>158</v>
      </c>
      <c r="C41" s="6" t="s">
        <v>44</v>
      </c>
      <c r="D41" s="4" t="s">
        <v>171</v>
      </c>
    </row>
    <row r="42" spans="1:4" x14ac:dyDescent="0.3">
      <c r="A42" s="8" t="s">
        <v>18</v>
      </c>
      <c r="B42" s="5" t="s">
        <v>158</v>
      </c>
      <c r="C42" s="6" t="s">
        <v>44</v>
      </c>
      <c r="D42" s="4" t="s">
        <v>91</v>
      </c>
    </row>
    <row r="43" spans="1:4" ht="49.5" x14ac:dyDescent="0.3">
      <c r="A43" s="8" t="s">
        <v>109</v>
      </c>
      <c r="B43" s="5" t="s">
        <v>92</v>
      </c>
      <c r="C43" s="6"/>
      <c r="D43" s="7" t="s">
        <v>93</v>
      </c>
    </row>
    <row r="44" spans="1:4" x14ac:dyDescent="0.3">
      <c r="A44" s="8" t="s">
        <v>19</v>
      </c>
      <c r="B44" s="5" t="s">
        <v>158</v>
      </c>
      <c r="C44" s="6" t="s">
        <v>44</v>
      </c>
      <c r="D44" s="4" t="s">
        <v>167</v>
      </c>
    </row>
    <row r="45" spans="1:4" x14ac:dyDescent="0.3">
      <c r="A45" s="8" t="s">
        <v>20</v>
      </c>
      <c r="B45" s="5" t="s">
        <v>158</v>
      </c>
      <c r="C45" s="6" t="s">
        <v>44</v>
      </c>
      <c r="D45" s="4" t="s">
        <v>168</v>
      </c>
    </row>
    <row r="46" spans="1:4" x14ac:dyDescent="0.3">
      <c r="A46" s="8" t="s">
        <v>21</v>
      </c>
      <c r="B46" s="5" t="s">
        <v>158</v>
      </c>
      <c r="C46" s="6" t="s">
        <v>44</v>
      </c>
      <c r="D46" s="4" t="s">
        <v>169</v>
      </c>
    </row>
    <row r="47" spans="1:4" x14ac:dyDescent="0.3">
      <c r="A47" s="8" t="s">
        <v>22</v>
      </c>
      <c r="B47" s="5" t="s">
        <v>158</v>
      </c>
      <c r="C47" s="6" t="s">
        <v>44</v>
      </c>
      <c r="D47" s="4"/>
    </row>
    <row r="48" spans="1:4" x14ac:dyDescent="0.3">
      <c r="A48" s="8" t="s">
        <v>23</v>
      </c>
      <c r="B48" s="4" t="s">
        <v>88</v>
      </c>
      <c r="C48" s="6" t="s">
        <v>44</v>
      </c>
      <c r="D48" s="4" t="s">
        <v>173</v>
      </c>
    </row>
    <row r="49" spans="1:4" x14ac:dyDescent="0.3">
      <c r="A49" s="8" t="s">
        <v>24</v>
      </c>
      <c r="B49" s="4" t="s">
        <v>48</v>
      </c>
      <c r="C49" s="6" t="s">
        <v>44</v>
      </c>
      <c r="D49" s="4"/>
    </row>
    <row r="50" spans="1:4" x14ac:dyDescent="0.3">
      <c r="A50" s="8" t="s">
        <v>25</v>
      </c>
      <c r="B50" s="4" t="s">
        <v>26</v>
      </c>
      <c r="C50" s="6" t="s">
        <v>44</v>
      </c>
      <c r="D50" s="4"/>
    </row>
  </sheetData>
  <autoFilter ref="A9:D50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Q14"/>
  <sheetViews>
    <sheetView showGridLines="0" zoomScale="80" zoomScaleNormal="80" workbookViewId="0">
      <selection activeCell="E8" sqref="E8:K8"/>
    </sheetView>
  </sheetViews>
  <sheetFormatPr defaultRowHeight="16.5" x14ac:dyDescent="0.3"/>
  <cols>
    <col min="1" max="1" width="10.21875" customWidth="1"/>
    <col min="3" max="3" width="30.88671875" customWidth="1"/>
    <col min="5" max="7" width="9.21875" customWidth="1"/>
    <col min="8" max="8" width="13.88671875" customWidth="1"/>
    <col min="9" max="9" width="14.21875" customWidth="1"/>
    <col min="10" max="10" width="13.5546875" customWidth="1"/>
    <col min="11" max="11" width="11.5546875" customWidth="1"/>
    <col min="12" max="12" width="15.33203125" customWidth="1"/>
    <col min="13" max="24" width="9.21875" customWidth="1"/>
    <col min="25" max="25" width="12" bestFit="1" customWidth="1"/>
    <col min="26" max="26" width="12.21875" customWidth="1"/>
    <col min="27" max="27" width="7.88671875" customWidth="1"/>
    <col min="28" max="28" width="8.88671875" customWidth="1"/>
    <col min="29" max="29" width="10.44140625" customWidth="1"/>
    <col min="30" max="30" width="15.33203125" customWidth="1"/>
    <col min="31" max="31" width="16" customWidth="1"/>
    <col min="32" max="43" width="12" customWidth="1"/>
  </cols>
  <sheetData>
    <row r="4" spans="1:43" s="20" customFormat="1" ht="15" x14ac:dyDescent="0.3">
      <c r="A4" s="68" t="s">
        <v>94</v>
      </c>
      <c r="B4" s="69"/>
      <c r="C4" s="69"/>
      <c r="D4" s="70"/>
      <c r="E4" s="76" t="s">
        <v>124</v>
      </c>
      <c r="F4" s="76"/>
      <c r="G4" s="76"/>
      <c r="H4" s="76"/>
      <c r="I4" s="76"/>
      <c r="J4" s="76"/>
      <c r="K4" s="76"/>
      <c r="L4" s="77" t="s">
        <v>183</v>
      </c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8" t="s">
        <v>125</v>
      </c>
      <c r="Z4" s="78"/>
      <c r="AA4" s="71" t="s">
        <v>178</v>
      </c>
      <c r="AB4" s="72"/>
      <c r="AC4" s="72"/>
      <c r="AD4" s="73"/>
      <c r="AE4" s="79" t="s">
        <v>182</v>
      </c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</row>
    <row r="5" spans="1:43" s="19" customFormat="1" ht="30" x14ac:dyDescent="0.25">
      <c r="A5" s="21" t="s">
        <v>110</v>
      </c>
      <c r="B5" s="21" t="s">
        <v>106</v>
      </c>
      <c r="C5" s="21" t="s">
        <v>97</v>
      </c>
      <c r="D5" s="21" t="s">
        <v>108</v>
      </c>
      <c r="E5" s="22" t="s">
        <v>100</v>
      </c>
      <c r="F5" s="22" t="s">
        <v>101</v>
      </c>
      <c r="G5" s="22" t="s">
        <v>102</v>
      </c>
      <c r="H5" s="22" t="s">
        <v>103</v>
      </c>
      <c r="I5" s="22" t="s">
        <v>104</v>
      </c>
      <c r="J5" s="22" t="s">
        <v>15</v>
      </c>
      <c r="K5" s="23" t="s">
        <v>105</v>
      </c>
      <c r="L5" s="24" t="s">
        <v>111</v>
      </c>
      <c r="M5" s="24" t="s">
        <v>112</v>
      </c>
      <c r="N5" s="24" t="s">
        <v>113</v>
      </c>
      <c r="O5" s="24" t="s">
        <v>114</v>
      </c>
      <c r="P5" s="24" t="s">
        <v>115</v>
      </c>
      <c r="Q5" s="24" t="s">
        <v>116</v>
      </c>
      <c r="R5" s="24" t="s">
        <v>117</v>
      </c>
      <c r="S5" s="24" t="s">
        <v>118</v>
      </c>
      <c r="T5" s="24" t="s">
        <v>119</v>
      </c>
      <c r="U5" s="24" t="s">
        <v>120</v>
      </c>
      <c r="V5" s="24" t="s">
        <v>121</v>
      </c>
      <c r="W5" s="24" t="s">
        <v>122</v>
      </c>
      <c r="X5" s="24" t="s">
        <v>123</v>
      </c>
      <c r="Y5" s="25" t="s">
        <v>126</v>
      </c>
      <c r="Z5" s="25" t="s">
        <v>127</v>
      </c>
      <c r="AA5" s="38" t="s">
        <v>179</v>
      </c>
      <c r="AB5" s="38" t="s">
        <v>180</v>
      </c>
      <c r="AC5" s="38" t="s">
        <v>181</v>
      </c>
      <c r="AD5" s="38" t="s">
        <v>186</v>
      </c>
      <c r="AE5" s="26" t="s">
        <v>111</v>
      </c>
      <c r="AF5" s="26" t="s">
        <v>112</v>
      </c>
      <c r="AG5" s="26" t="s">
        <v>113</v>
      </c>
      <c r="AH5" s="26" t="s">
        <v>114</v>
      </c>
      <c r="AI5" s="26" t="s">
        <v>115</v>
      </c>
      <c r="AJ5" s="26" t="s">
        <v>116</v>
      </c>
      <c r="AK5" s="26" t="s">
        <v>117</v>
      </c>
      <c r="AL5" s="26" t="s">
        <v>118</v>
      </c>
      <c r="AM5" s="26" t="s">
        <v>119</v>
      </c>
      <c r="AN5" s="26" t="s">
        <v>120</v>
      </c>
      <c r="AO5" s="26" t="s">
        <v>121</v>
      </c>
      <c r="AP5" s="26" t="s">
        <v>122</v>
      </c>
      <c r="AQ5" s="26" t="s">
        <v>123</v>
      </c>
    </row>
    <row r="6" spans="1:43" x14ac:dyDescent="0.3">
      <c r="A6" s="27" t="s">
        <v>133</v>
      </c>
      <c r="B6" s="27" t="s">
        <v>130</v>
      </c>
      <c r="C6" s="27" t="s">
        <v>129</v>
      </c>
      <c r="D6" s="27" t="s">
        <v>75</v>
      </c>
      <c r="E6" s="28" t="s">
        <v>134</v>
      </c>
      <c r="F6" s="28" t="s">
        <v>135</v>
      </c>
      <c r="G6" s="28"/>
      <c r="H6" s="28"/>
      <c r="I6" s="28"/>
      <c r="J6" s="28"/>
      <c r="K6" s="28" t="s">
        <v>137</v>
      </c>
      <c r="L6" s="29">
        <v>1682075.0099999998</v>
      </c>
      <c r="M6" s="29">
        <v>166465.65</v>
      </c>
      <c r="N6" s="29">
        <v>129234.8</v>
      </c>
      <c r="O6" s="29">
        <v>119829.42</v>
      </c>
      <c r="P6" s="29">
        <v>188489.05</v>
      </c>
      <c r="Q6" s="29">
        <v>170248.98</v>
      </c>
      <c r="R6" s="29">
        <v>120951.53</v>
      </c>
      <c r="S6" s="29">
        <v>126545.01</v>
      </c>
      <c r="T6" s="29">
        <v>133172.97</v>
      </c>
      <c r="U6" s="29">
        <v>103568.98</v>
      </c>
      <c r="V6" s="29">
        <v>216144.44</v>
      </c>
      <c r="W6" s="29">
        <v>89123.71</v>
      </c>
      <c r="X6" s="29">
        <v>118300.47</v>
      </c>
      <c r="Y6" s="29">
        <v>280924.99000000022</v>
      </c>
      <c r="Z6" s="30">
        <v>0.16701097652000674</v>
      </c>
      <c r="AA6" s="30"/>
      <c r="AB6" s="30"/>
      <c r="AC6" s="30"/>
      <c r="AD6" s="30"/>
      <c r="AE6" s="29">
        <v>1963000</v>
      </c>
      <c r="AF6" s="29">
        <v>148000</v>
      </c>
      <c r="AG6" s="29">
        <v>150000</v>
      </c>
      <c r="AH6" s="29">
        <v>120000</v>
      </c>
      <c r="AI6" s="29">
        <v>205000</v>
      </c>
      <c r="AJ6" s="29">
        <v>159000</v>
      </c>
      <c r="AK6" s="29">
        <v>200000</v>
      </c>
      <c r="AL6" s="29">
        <v>160000</v>
      </c>
      <c r="AM6" s="29">
        <v>112000</v>
      </c>
      <c r="AN6" s="29">
        <v>144000</v>
      </c>
      <c r="AO6" s="29">
        <v>230000</v>
      </c>
      <c r="AP6" s="29">
        <v>180000</v>
      </c>
      <c r="AQ6" s="29">
        <v>155000</v>
      </c>
    </row>
    <row r="7" spans="1:43" x14ac:dyDescent="0.3">
      <c r="A7" s="27" t="s">
        <v>133</v>
      </c>
      <c r="B7" s="27" t="s">
        <v>132</v>
      </c>
      <c r="C7" s="27" t="s">
        <v>131</v>
      </c>
      <c r="D7" s="27" t="s">
        <v>80</v>
      </c>
      <c r="E7" s="28" t="s">
        <v>134</v>
      </c>
      <c r="F7" s="28" t="s">
        <v>136</v>
      </c>
      <c r="G7" s="28"/>
      <c r="H7" s="28"/>
      <c r="I7" s="28"/>
      <c r="J7" s="28"/>
      <c r="K7" s="28" t="s">
        <v>137</v>
      </c>
      <c r="L7" s="29">
        <v>273003.18</v>
      </c>
      <c r="M7" s="29">
        <v>31520</v>
      </c>
      <c r="N7" s="29">
        <v>3952</v>
      </c>
      <c r="O7" s="29">
        <v>1170</v>
      </c>
      <c r="P7" s="29">
        <v>19650</v>
      </c>
      <c r="Q7" s="29">
        <v>39400</v>
      </c>
      <c r="R7" s="29">
        <v>32240.799999999999</v>
      </c>
      <c r="S7" s="29">
        <v>17006</v>
      </c>
      <c r="T7" s="29">
        <v>19870.169999999998</v>
      </c>
      <c r="U7" s="29">
        <v>21424.69</v>
      </c>
      <c r="V7" s="29">
        <v>45846.62</v>
      </c>
      <c r="W7" s="29">
        <v>9482</v>
      </c>
      <c r="X7" s="29">
        <v>31440.9</v>
      </c>
      <c r="Y7" s="29">
        <v>61946.820000000007</v>
      </c>
      <c r="Z7" s="30">
        <v>0.22690878545810356</v>
      </c>
      <c r="AA7" s="30"/>
      <c r="AB7" s="30"/>
      <c r="AC7" s="30"/>
      <c r="AD7" s="30"/>
      <c r="AE7" s="29">
        <v>334950</v>
      </c>
      <c r="AF7" s="29">
        <v>23100</v>
      </c>
      <c r="AG7" s="29">
        <v>16800</v>
      </c>
      <c r="AH7" s="29">
        <v>12600</v>
      </c>
      <c r="AI7" s="29">
        <v>21000</v>
      </c>
      <c r="AJ7" s="29">
        <v>36750</v>
      </c>
      <c r="AK7" s="29">
        <v>33600</v>
      </c>
      <c r="AL7" s="29">
        <v>17850</v>
      </c>
      <c r="AM7" s="29">
        <v>16800</v>
      </c>
      <c r="AN7" s="29">
        <v>39900</v>
      </c>
      <c r="AO7" s="29">
        <v>42000</v>
      </c>
      <c r="AP7" s="29">
        <v>31500</v>
      </c>
      <c r="AQ7" s="29">
        <v>43050</v>
      </c>
    </row>
    <row r="8" spans="1:43" ht="123.6" customHeight="1" x14ac:dyDescent="0.3">
      <c r="A8" s="66" t="s">
        <v>145</v>
      </c>
      <c r="B8" s="67"/>
      <c r="C8" s="67"/>
      <c r="E8" s="80" t="s">
        <v>144</v>
      </c>
      <c r="F8" s="81"/>
      <c r="G8" s="81"/>
      <c r="H8" s="81"/>
      <c r="I8" s="81"/>
      <c r="J8" s="81"/>
      <c r="K8" s="81"/>
      <c r="L8" s="66" t="s">
        <v>138</v>
      </c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6" t="s">
        <v>139</v>
      </c>
      <c r="Z8" s="67"/>
      <c r="AA8" s="74" t="s">
        <v>187</v>
      </c>
      <c r="AB8" s="75"/>
      <c r="AC8" s="75"/>
      <c r="AD8" s="17" t="s">
        <v>185</v>
      </c>
      <c r="AE8" s="66" t="s">
        <v>184</v>
      </c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</row>
    <row r="12" spans="1:43" x14ac:dyDescent="0.3">
      <c r="E12" t="s">
        <v>146</v>
      </c>
    </row>
    <row r="13" spans="1:43" x14ac:dyDescent="0.3">
      <c r="E13" t="s">
        <v>148</v>
      </c>
    </row>
    <row r="14" spans="1:43" x14ac:dyDescent="0.3">
      <c r="E14" t="s">
        <v>147</v>
      </c>
    </row>
  </sheetData>
  <mergeCells count="12">
    <mergeCell ref="A8:C8"/>
    <mergeCell ref="Y8:Z8"/>
    <mergeCell ref="AE8:AQ8"/>
    <mergeCell ref="A4:D4"/>
    <mergeCell ref="AA4:AD4"/>
    <mergeCell ref="AA8:AC8"/>
    <mergeCell ref="E4:K4"/>
    <mergeCell ref="L4:X4"/>
    <mergeCell ref="Y4:Z4"/>
    <mergeCell ref="AE4:AQ4"/>
    <mergeCell ref="E8:K8"/>
    <mergeCell ref="L8:X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showGridLines="0" zoomScaleNormal="100" workbookViewId="0">
      <pane xSplit="3" ySplit="6" topLeftCell="D7" activePane="bottomRight" state="frozen"/>
      <selection pane="topRight" activeCell="B1" sqref="B1"/>
      <selection pane="bottomLeft" activeCell="A13" sqref="A13"/>
      <selection pane="bottomRight" activeCell="C31" sqref="C31"/>
    </sheetView>
  </sheetViews>
  <sheetFormatPr defaultRowHeight="16.5" x14ac:dyDescent="0.3"/>
  <cols>
    <col min="3" max="3" width="26.77734375" style="3" customWidth="1"/>
    <col min="4" max="4" width="21.109375" style="3" customWidth="1"/>
    <col min="5" max="5" width="25.33203125" style="3" customWidth="1"/>
    <col min="6" max="6" width="11.33203125" bestFit="1" customWidth="1"/>
  </cols>
  <sheetData>
    <row r="1" spans="1:7" ht="6" customHeight="1" x14ac:dyDescent="0.3"/>
    <row r="2" spans="1:7" s="10" customFormat="1" ht="36.75" x14ac:dyDescent="0.45">
      <c r="C2" s="11" t="s">
        <v>312</v>
      </c>
      <c r="D2" s="12"/>
      <c r="E2" s="12"/>
    </row>
    <row r="3" spans="1:7" s="10" customFormat="1" ht="8.4499999999999993" customHeight="1" x14ac:dyDescent="0.45">
      <c r="C3" s="11"/>
      <c r="D3" s="12"/>
      <c r="E3" s="12"/>
    </row>
    <row r="4" spans="1:7" ht="19.5" customHeight="1" x14ac:dyDescent="0.3">
      <c r="C4" s="59" t="s">
        <v>257</v>
      </c>
      <c r="D4" s="59"/>
      <c r="F4" s="59" t="s">
        <v>97</v>
      </c>
      <c r="G4" s="59"/>
    </row>
    <row r="5" spans="1:7" ht="32.1" customHeight="1" x14ac:dyDescent="0.3">
      <c r="C5" s="45" t="s">
        <v>316</v>
      </c>
    </row>
    <row r="6" spans="1:7" s="43" customFormat="1" x14ac:dyDescent="0.3">
      <c r="A6" s="41" t="s">
        <v>321</v>
      </c>
      <c r="B6" s="41" t="s">
        <v>322</v>
      </c>
      <c r="C6" s="41" t="s">
        <v>309</v>
      </c>
      <c r="D6" s="41" t="s">
        <v>310</v>
      </c>
      <c r="E6" s="41" t="s">
        <v>311</v>
      </c>
    </row>
    <row r="7" spans="1:7" x14ac:dyDescent="0.3">
      <c r="C7" s="8" t="s">
        <v>8</v>
      </c>
      <c r="D7" s="5"/>
      <c r="E7" s="6"/>
    </row>
    <row r="8" spans="1:7" x14ac:dyDescent="0.3">
      <c r="C8" s="8" t="s">
        <v>239</v>
      </c>
      <c r="D8" s="5"/>
      <c r="E8" s="6"/>
    </row>
    <row r="9" spans="1:7" x14ac:dyDescent="0.3">
      <c r="C9" s="8" t="s">
        <v>4</v>
      </c>
      <c r="D9" s="5"/>
      <c r="E9" s="6"/>
    </row>
    <row r="10" spans="1:7" x14ac:dyDescent="0.3">
      <c r="C10" s="8" t="s">
        <v>65</v>
      </c>
      <c r="D10" s="5"/>
      <c r="E10" s="6"/>
    </row>
    <row r="11" spans="1:7" x14ac:dyDescent="0.3">
      <c r="C11" s="8" t="s">
        <v>241</v>
      </c>
      <c r="D11" s="5"/>
      <c r="E11" s="6"/>
    </row>
    <row r="12" spans="1:7" x14ac:dyDescent="0.3">
      <c r="C12" s="8" t="s">
        <v>68</v>
      </c>
      <c r="D12" s="5"/>
      <c r="E12" s="6"/>
    </row>
    <row r="13" spans="1:7" x14ac:dyDescent="0.3">
      <c r="C13" s="8" t="s">
        <v>242</v>
      </c>
      <c r="D13" s="5"/>
      <c r="E13" s="6"/>
    </row>
    <row r="14" spans="1:7" x14ac:dyDescent="0.3">
      <c r="C14" s="8" t="s">
        <v>174</v>
      </c>
      <c r="D14" s="5"/>
      <c r="E14" s="6"/>
    </row>
    <row r="15" spans="1:7" x14ac:dyDescent="0.3">
      <c r="C15" s="8" t="s">
        <v>243</v>
      </c>
      <c r="D15" s="5"/>
      <c r="E15" s="6"/>
    </row>
    <row r="16" spans="1:7" x14ac:dyDescent="0.3">
      <c r="C16" s="4" t="s">
        <v>11</v>
      </c>
      <c r="D16" s="5"/>
      <c r="E16" s="6"/>
    </row>
    <row r="17" spans="1:5" x14ac:dyDescent="0.3">
      <c r="C17" s="4" t="s">
        <v>12</v>
      </c>
      <c r="D17" s="5"/>
      <c r="E17" s="6"/>
    </row>
    <row r="18" spans="1:5" x14ac:dyDescent="0.3">
      <c r="C18" s="4" t="s">
        <v>13</v>
      </c>
      <c r="D18" s="5"/>
      <c r="E18" s="6"/>
    </row>
    <row r="19" spans="1:5" x14ac:dyDescent="0.3">
      <c r="C19" s="4" t="s">
        <v>14</v>
      </c>
      <c r="D19" s="5"/>
      <c r="E19" s="6"/>
    </row>
    <row r="20" spans="1:5" x14ac:dyDescent="0.3">
      <c r="C20" s="4" t="s">
        <v>15</v>
      </c>
      <c r="D20" s="5"/>
      <c r="E20" s="6"/>
    </row>
    <row r="21" spans="1:5" x14ac:dyDescent="0.3">
      <c r="C21" s="4" t="s">
        <v>16</v>
      </c>
      <c r="D21" s="5"/>
      <c r="E21" s="6"/>
    </row>
    <row r="22" spans="1:5" x14ac:dyDescent="0.3">
      <c r="C22" s="4" t="s">
        <v>17</v>
      </c>
      <c r="D22" s="5"/>
      <c r="E22" s="6"/>
    </row>
    <row r="23" spans="1:5" x14ac:dyDescent="0.3">
      <c r="C23" s="4" t="s">
        <v>18</v>
      </c>
      <c r="D23" s="5"/>
      <c r="E23" s="6"/>
    </row>
    <row r="24" spans="1:5" x14ac:dyDescent="0.3">
      <c r="C24" s="4" t="s">
        <v>19</v>
      </c>
      <c r="D24" s="5"/>
      <c r="E24" s="6"/>
    </row>
    <row r="25" spans="1:5" x14ac:dyDescent="0.3">
      <c r="C25" s="4" t="s">
        <v>20</v>
      </c>
      <c r="D25" s="5"/>
      <c r="E25" s="6"/>
    </row>
    <row r="26" spans="1:5" x14ac:dyDescent="0.3">
      <c r="C26" s="4" t="s">
        <v>21</v>
      </c>
      <c r="D26" s="5"/>
      <c r="E26" s="6"/>
    </row>
    <row r="27" spans="1:5" x14ac:dyDescent="0.3">
      <c r="C27" s="4" t="s">
        <v>22</v>
      </c>
      <c r="D27" s="5"/>
      <c r="E27" s="6"/>
    </row>
    <row r="28" spans="1:5" x14ac:dyDescent="0.3">
      <c r="A28" s="85"/>
      <c r="B28" s="86"/>
      <c r="C28" s="4" t="s">
        <v>23</v>
      </c>
      <c r="D28" s="5"/>
      <c r="E28" s="6"/>
    </row>
  </sheetData>
  <autoFilter ref="C6:E15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17"/>
  <sheetViews>
    <sheetView showGridLines="0" zoomScaleNormal="100" workbookViewId="0">
      <selection activeCell="F23" sqref="F23"/>
    </sheetView>
  </sheetViews>
  <sheetFormatPr defaultRowHeight="16.5" x14ac:dyDescent="0.3"/>
  <sheetData>
    <row r="1" spans="1:41" ht="6" customHeight="1" x14ac:dyDescent="0.3">
      <c r="A1" s="3"/>
      <c r="B1" s="3"/>
      <c r="C1" s="3"/>
      <c r="D1" s="3"/>
    </row>
    <row r="2" spans="1:41" s="10" customFormat="1" ht="37.5" thickBot="1" x14ac:dyDescent="0.5">
      <c r="A2" s="84" t="s">
        <v>320</v>
      </c>
      <c r="B2" s="12"/>
      <c r="C2" s="12"/>
      <c r="D2" s="12"/>
      <c r="L2" s="11" t="s">
        <v>307</v>
      </c>
    </row>
    <row r="3" spans="1:41" ht="5.0999999999999996" customHeight="1" x14ac:dyDescent="0.3"/>
    <row r="4" spans="1:41" ht="19.5" customHeight="1" x14ac:dyDescent="0.3">
      <c r="A4" s="50" t="s">
        <v>306</v>
      </c>
      <c r="E4" s="61" t="s">
        <v>308</v>
      </c>
    </row>
    <row r="5" spans="1:41" ht="19.5" customHeight="1" x14ac:dyDescent="0.3">
      <c r="A5" t="s">
        <v>256</v>
      </c>
      <c r="B5" s="59" t="s">
        <v>257</v>
      </c>
      <c r="C5" s="59"/>
      <c r="E5" s="59" t="s">
        <v>261</v>
      </c>
      <c r="F5" s="59"/>
      <c r="H5" s="59" t="s">
        <v>264</v>
      </c>
      <c r="I5" s="59"/>
      <c r="K5" s="59" t="s">
        <v>97</v>
      </c>
      <c r="L5" s="59"/>
    </row>
    <row r="6" spans="1:41" s="60" customFormat="1" ht="19.5" customHeight="1" x14ac:dyDescent="0.3">
      <c r="B6" s="62" t="s">
        <v>291</v>
      </c>
    </row>
    <row r="7" spans="1:41" s="60" customFormat="1" ht="6.6" customHeight="1" x14ac:dyDescent="0.3"/>
    <row r="8" spans="1:41" x14ac:dyDescent="0.3">
      <c r="A8" t="s">
        <v>301</v>
      </c>
    </row>
    <row r="9" spans="1:41" s="58" customFormat="1" x14ac:dyDescent="0.3">
      <c r="A9" s="57" t="s">
        <v>96</v>
      </c>
      <c r="B9" s="57" t="s">
        <v>5</v>
      </c>
      <c r="C9" s="57" t="s">
        <v>6</v>
      </c>
      <c r="D9" s="57" t="s">
        <v>7</v>
      </c>
      <c r="E9" s="57" t="s">
        <v>8</v>
      </c>
      <c r="F9" s="57" t="s">
        <v>239</v>
      </c>
      <c r="G9" s="57" t="s">
        <v>9</v>
      </c>
      <c r="H9" s="57" t="s">
        <v>240</v>
      </c>
      <c r="I9" s="57" t="s">
        <v>4</v>
      </c>
      <c r="J9" s="57" t="s">
        <v>65</v>
      </c>
      <c r="K9" s="57" t="s">
        <v>241</v>
      </c>
      <c r="L9" s="57" t="s">
        <v>68</v>
      </c>
      <c r="M9" s="57" t="s">
        <v>242</v>
      </c>
      <c r="N9" s="57" t="s">
        <v>174</v>
      </c>
      <c r="O9" s="57" t="s">
        <v>243</v>
      </c>
      <c r="P9" s="57" t="s">
        <v>244</v>
      </c>
      <c r="Q9" s="57" t="s">
        <v>245</v>
      </c>
      <c r="R9" s="57" t="s">
        <v>246</v>
      </c>
      <c r="S9" s="57" t="s">
        <v>10</v>
      </c>
      <c r="T9" s="57" t="s">
        <v>247</v>
      </c>
      <c r="U9" s="57" t="s">
        <v>248</v>
      </c>
      <c r="V9" s="57" t="s">
        <v>249</v>
      </c>
      <c r="W9" s="57" t="s">
        <v>250</v>
      </c>
      <c r="X9" s="57" t="s">
        <v>251</v>
      </c>
      <c r="Y9" s="57" t="s">
        <v>252</v>
      </c>
      <c r="Z9" s="57" t="s">
        <v>11</v>
      </c>
      <c r="AA9" s="57" t="s">
        <v>12</v>
      </c>
      <c r="AB9" s="57" t="s">
        <v>13</v>
      </c>
      <c r="AC9" s="57" t="s">
        <v>14</v>
      </c>
      <c r="AD9" s="57" t="s">
        <v>15</v>
      </c>
      <c r="AE9" s="57" t="s">
        <v>16</v>
      </c>
      <c r="AF9" s="57" t="s">
        <v>17</v>
      </c>
      <c r="AG9" s="57" t="s">
        <v>18</v>
      </c>
      <c r="AH9" s="57" t="s">
        <v>109</v>
      </c>
      <c r="AI9" s="57" t="s">
        <v>19</v>
      </c>
      <c r="AJ9" s="57" t="s">
        <v>20</v>
      </c>
      <c r="AK9" s="57" t="s">
        <v>21</v>
      </c>
      <c r="AL9" s="57" t="s">
        <v>22</v>
      </c>
      <c r="AM9" s="57" t="s">
        <v>23</v>
      </c>
      <c r="AN9" s="57" t="s">
        <v>24</v>
      </c>
      <c r="AO9" s="57" t="s">
        <v>25</v>
      </c>
    </row>
    <row r="10" spans="1:41" x14ac:dyDescent="0.3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</row>
    <row r="11" spans="1:41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</row>
    <row r="13" spans="1:41" x14ac:dyDescent="0.3">
      <c r="A13" t="s">
        <v>303</v>
      </c>
    </row>
    <row r="14" spans="1:41" x14ac:dyDescent="0.3">
      <c r="A14" s="57" t="s">
        <v>96</v>
      </c>
      <c r="B14" s="57" t="s">
        <v>5</v>
      </c>
      <c r="C14" s="57" t="s">
        <v>6</v>
      </c>
      <c r="D14" s="57" t="s">
        <v>7</v>
      </c>
      <c r="E14" s="57" t="s">
        <v>8</v>
      </c>
      <c r="F14" s="57" t="s">
        <v>239</v>
      </c>
      <c r="G14" s="57" t="s">
        <v>9</v>
      </c>
      <c r="H14" s="57" t="s">
        <v>4</v>
      </c>
      <c r="I14" s="57" t="s">
        <v>65</v>
      </c>
      <c r="J14" s="57" t="s">
        <v>241</v>
      </c>
      <c r="K14" s="57" t="s">
        <v>68</v>
      </c>
      <c r="L14" s="57" t="s">
        <v>174</v>
      </c>
      <c r="M14" s="57" t="s">
        <v>243</v>
      </c>
      <c r="N14" s="57" t="s">
        <v>10</v>
      </c>
      <c r="O14" s="57" t="s">
        <v>247</v>
      </c>
      <c r="P14" s="57" t="s">
        <v>248</v>
      </c>
      <c r="Q14" s="57" t="s">
        <v>249</v>
      </c>
      <c r="R14" s="57" t="s">
        <v>11</v>
      </c>
      <c r="S14" s="57" t="s">
        <v>12</v>
      </c>
      <c r="T14" s="57" t="s">
        <v>13</v>
      </c>
      <c r="U14" s="57" t="s">
        <v>14</v>
      </c>
      <c r="V14" s="57" t="s">
        <v>15</v>
      </c>
      <c r="W14" s="57" t="s">
        <v>16</v>
      </c>
      <c r="X14" s="57" t="s">
        <v>17</v>
      </c>
      <c r="Y14" s="57" t="s">
        <v>18</v>
      </c>
      <c r="Z14" s="57" t="s">
        <v>19</v>
      </c>
      <c r="AA14" s="57" t="s">
        <v>20</v>
      </c>
      <c r="AB14" s="57" t="s">
        <v>21</v>
      </c>
      <c r="AC14" s="57" t="s">
        <v>22</v>
      </c>
      <c r="AD14" s="57" t="s">
        <v>23</v>
      </c>
      <c r="AE14" s="57" t="s">
        <v>24</v>
      </c>
      <c r="AF14" s="57" t="s">
        <v>25</v>
      </c>
    </row>
    <row r="15" spans="1:4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4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:32" x14ac:dyDescent="0.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showGridLines="0" zoomScale="70" zoomScaleNormal="70" workbookViewId="0">
      <pane xSplit="1" ySplit="12" topLeftCell="B19" activePane="bottomRight" state="frozen"/>
      <selection pane="topRight" activeCell="B1" sqref="B1"/>
      <selection pane="bottomLeft" activeCell="A13" sqref="A13"/>
      <selection pane="bottomRight" activeCell="I9" sqref="I9"/>
    </sheetView>
  </sheetViews>
  <sheetFormatPr defaultRowHeight="16.5" x14ac:dyDescent="0.3"/>
  <cols>
    <col min="1" max="1" width="26.77734375" style="3" customWidth="1"/>
    <col min="2" max="2" width="37.44140625" style="3" customWidth="1"/>
    <col min="3" max="3" width="11.33203125" style="3" customWidth="1"/>
    <col min="4" max="4" width="132.6640625" style="3" customWidth="1"/>
    <col min="5" max="5" width="11.33203125" bestFit="1" customWidth="1"/>
  </cols>
  <sheetData>
    <row r="1" spans="1:9" ht="6" customHeight="1" x14ac:dyDescent="0.3"/>
    <row r="2" spans="1:9" s="10" customFormat="1" ht="36.75" x14ac:dyDescent="0.45">
      <c r="A2" s="11" t="s">
        <v>292</v>
      </c>
      <c r="B2" s="12"/>
      <c r="C2" s="12"/>
      <c r="D2" s="12"/>
      <c r="F2" s="60"/>
      <c r="G2" s="60"/>
      <c r="H2" s="60"/>
    </row>
    <row r="3" spans="1:9" ht="6.6" customHeight="1" x14ac:dyDescent="0.3">
      <c r="A3"/>
      <c r="F3" s="60"/>
      <c r="G3" s="60"/>
      <c r="H3" s="60"/>
    </row>
    <row r="4" spans="1:9" ht="14.1" customHeight="1" x14ac:dyDescent="0.3">
      <c r="A4" t="s">
        <v>256</v>
      </c>
      <c r="F4" s="64" t="s">
        <v>265</v>
      </c>
      <c r="G4" s="55" t="s">
        <v>277</v>
      </c>
      <c r="H4" s="64" t="s">
        <v>272</v>
      </c>
      <c r="I4" s="55" t="s">
        <v>284</v>
      </c>
    </row>
    <row r="5" spans="1:9" ht="21.6" customHeight="1" x14ac:dyDescent="0.3">
      <c r="A5" s="59" t="s">
        <v>257</v>
      </c>
      <c r="B5" s="65"/>
      <c r="C5" s="60"/>
      <c r="D5"/>
      <c r="F5" s="64" t="s">
        <v>266</v>
      </c>
      <c r="G5" s="55" t="s">
        <v>278</v>
      </c>
      <c r="H5" s="64" t="s">
        <v>273</v>
      </c>
      <c r="I5" s="55" t="s">
        <v>285</v>
      </c>
    </row>
    <row r="6" spans="1:9" ht="21.6" customHeight="1" x14ac:dyDescent="0.3">
      <c r="A6" s="59" t="s">
        <v>262</v>
      </c>
      <c r="B6" s="59"/>
      <c r="C6" s="60"/>
      <c r="D6"/>
      <c r="F6" s="64" t="s">
        <v>267</v>
      </c>
      <c r="G6" s="55" t="s">
        <v>279</v>
      </c>
      <c r="H6" s="64" t="s">
        <v>274</v>
      </c>
      <c r="I6" s="55" t="s">
        <v>286</v>
      </c>
    </row>
    <row r="7" spans="1:9" ht="21.6" customHeight="1" x14ac:dyDescent="0.3">
      <c r="A7" s="59" t="s">
        <v>264</v>
      </c>
      <c r="B7" s="59"/>
      <c r="C7" s="60"/>
      <c r="D7"/>
      <c r="F7" s="64" t="s">
        <v>268</v>
      </c>
      <c r="G7" s="55" t="s">
        <v>280</v>
      </c>
      <c r="H7" s="64" t="s">
        <v>275</v>
      </c>
      <c r="I7" s="55" t="s">
        <v>287</v>
      </c>
    </row>
    <row r="8" spans="1:9" ht="21.6" customHeight="1" x14ac:dyDescent="0.3">
      <c r="A8" s="59" t="s">
        <v>97</v>
      </c>
      <c r="B8" s="59"/>
      <c r="C8" s="60"/>
      <c r="D8"/>
      <c r="F8" s="64" t="s">
        <v>269</v>
      </c>
      <c r="G8" s="55" t="s">
        <v>281</v>
      </c>
      <c r="H8" s="64" t="s">
        <v>276</v>
      </c>
      <c r="I8" s="55" t="s">
        <v>288</v>
      </c>
    </row>
    <row r="9" spans="1:9" ht="23.45" customHeight="1" x14ac:dyDescent="0.3">
      <c r="A9" s="50" t="s">
        <v>232</v>
      </c>
      <c r="F9" s="64" t="s">
        <v>270</v>
      </c>
      <c r="G9" s="55" t="s">
        <v>282</v>
      </c>
      <c r="H9" s="64" t="s">
        <v>289</v>
      </c>
      <c r="I9" s="55" t="s">
        <v>290</v>
      </c>
    </row>
    <row r="10" spans="1:9" ht="23.45" customHeight="1" x14ac:dyDescent="0.3">
      <c r="A10" s="50" t="s">
        <v>298</v>
      </c>
      <c r="F10" s="64" t="s">
        <v>271</v>
      </c>
      <c r="G10" s="55" t="s">
        <v>283</v>
      </c>
    </row>
    <row r="11" spans="1:9" ht="23.45" customHeight="1" x14ac:dyDescent="0.3">
      <c r="A11" s="50" t="s">
        <v>317</v>
      </c>
      <c r="F11" s="64"/>
      <c r="G11" s="56"/>
    </row>
    <row r="12" spans="1:9" s="43" customFormat="1" ht="30" x14ac:dyDescent="0.3">
      <c r="A12" s="44" t="s">
        <v>302</v>
      </c>
      <c r="B12" s="42" t="s">
        <v>41</v>
      </c>
      <c r="C12" s="44" t="s">
        <v>303</v>
      </c>
      <c r="D12" s="41" t="s">
        <v>27</v>
      </c>
      <c r="H12"/>
    </row>
    <row r="13" spans="1:9" x14ac:dyDescent="0.3">
      <c r="A13" s="4" t="s">
        <v>97</v>
      </c>
      <c r="B13" s="5" t="s">
        <v>231</v>
      </c>
      <c r="C13" s="6" t="s">
        <v>44</v>
      </c>
      <c r="D13" s="7" t="s">
        <v>235</v>
      </c>
    </row>
    <row r="14" spans="1:9" x14ac:dyDescent="0.3">
      <c r="A14" s="4" t="s">
        <v>5</v>
      </c>
      <c r="B14" s="5" t="s">
        <v>46</v>
      </c>
      <c r="C14" s="6" t="s">
        <v>44</v>
      </c>
      <c r="D14" s="4" t="s">
        <v>47</v>
      </c>
    </row>
    <row r="15" spans="1:9" x14ac:dyDescent="0.3">
      <c r="A15" s="4" t="s">
        <v>6</v>
      </c>
      <c r="B15" s="5" t="s">
        <v>36</v>
      </c>
      <c r="C15" s="6" t="s">
        <v>44</v>
      </c>
      <c r="D15" s="7" t="s">
        <v>154</v>
      </c>
    </row>
    <row r="16" spans="1:9" x14ac:dyDescent="0.3">
      <c r="A16" s="8" t="s">
        <v>7</v>
      </c>
      <c r="B16" s="5" t="s">
        <v>300</v>
      </c>
      <c r="C16" s="6" t="s">
        <v>44</v>
      </c>
      <c r="D16" s="37"/>
    </row>
    <row r="17" spans="1:5" x14ac:dyDescent="0.3">
      <c r="A17" s="8" t="s">
        <v>8</v>
      </c>
      <c r="B17" s="5" t="s">
        <v>231</v>
      </c>
      <c r="C17" s="6" t="s">
        <v>44</v>
      </c>
      <c r="D17" s="7" t="s">
        <v>151</v>
      </c>
    </row>
    <row r="18" spans="1:5" x14ac:dyDescent="0.3">
      <c r="A18" s="8" t="s">
        <v>95</v>
      </c>
      <c r="B18" s="5" t="s">
        <v>231</v>
      </c>
      <c r="C18" s="6" t="s">
        <v>44</v>
      </c>
      <c r="D18" s="7" t="s">
        <v>152</v>
      </c>
    </row>
    <row r="19" spans="1:5" x14ac:dyDescent="0.3">
      <c r="A19" s="8" t="s">
        <v>9</v>
      </c>
      <c r="B19" s="5" t="s">
        <v>26</v>
      </c>
      <c r="C19" s="6" t="s">
        <v>44</v>
      </c>
      <c r="D19" s="7" t="s">
        <v>299</v>
      </c>
    </row>
    <row r="20" spans="1:5" ht="178.5" customHeight="1" x14ac:dyDescent="0.3">
      <c r="A20" s="8" t="s">
        <v>175</v>
      </c>
      <c r="B20" s="5" t="s">
        <v>87</v>
      </c>
      <c r="C20" s="6"/>
      <c r="D20" s="7" t="s">
        <v>176</v>
      </c>
    </row>
    <row r="21" spans="1:5" ht="33" x14ac:dyDescent="0.3">
      <c r="A21" s="8" t="s">
        <v>98</v>
      </c>
      <c r="B21" s="5" t="s">
        <v>87</v>
      </c>
      <c r="C21" s="6" t="s">
        <v>44</v>
      </c>
      <c r="D21" s="7" t="s">
        <v>159</v>
      </c>
    </row>
    <row r="22" spans="1:5" x14ac:dyDescent="0.3">
      <c r="A22" s="8" t="s">
        <v>65</v>
      </c>
      <c r="B22" s="5" t="s">
        <v>231</v>
      </c>
      <c r="C22" s="6" t="s">
        <v>44</v>
      </c>
      <c r="D22" s="7" t="s">
        <v>156</v>
      </c>
    </row>
    <row r="23" spans="1:5" x14ac:dyDescent="0.3">
      <c r="A23" s="8" t="s">
        <v>233</v>
      </c>
      <c r="B23" s="5" t="s">
        <v>231</v>
      </c>
      <c r="C23" s="6" t="s">
        <v>44</v>
      </c>
      <c r="D23" s="7" t="s">
        <v>157</v>
      </c>
    </row>
    <row r="24" spans="1:5" ht="33" x14ac:dyDescent="0.3">
      <c r="A24" s="8" t="s">
        <v>45</v>
      </c>
      <c r="B24" s="5" t="s">
        <v>87</v>
      </c>
      <c r="C24" s="6" t="s">
        <v>44</v>
      </c>
      <c r="D24" s="7" t="s">
        <v>160</v>
      </c>
    </row>
    <row r="25" spans="1:5" ht="33" x14ac:dyDescent="0.3">
      <c r="A25" s="8" t="s">
        <v>99</v>
      </c>
      <c r="B25" s="5" t="s">
        <v>87</v>
      </c>
      <c r="C25" s="6"/>
      <c r="D25" s="7" t="s">
        <v>162</v>
      </c>
    </row>
    <row r="26" spans="1:5" x14ac:dyDescent="0.3">
      <c r="A26" s="8" t="s">
        <v>174</v>
      </c>
      <c r="B26" s="5" t="s">
        <v>231</v>
      </c>
      <c r="C26" s="6" t="s">
        <v>44</v>
      </c>
      <c r="D26" s="7" t="s">
        <v>234</v>
      </c>
    </row>
    <row r="27" spans="1:5" x14ac:dyDescent="0.3">
      <c r="A27" s="8" t="s">
        <v>177</v>
      </c>
      <c r="B27" s="5" t="s">
        <v>231</v>
      </c>
      <c r="C27" s="6" t="s">
        <v>44</v>
      </c>
      <c r="D27" s="7" t="s">
        <v>234</v>
      </c>
    </row>
    <row r="28" spans="1:5" x14ac:dyDescent="0.3">
      <c r="A28" s="8" t="s">
        <v>29</v>
      </c>
      <c r="B28" s="9" t="s">
        <v>236</v>
      </c>
      <c r="C28" s="6"/>
      <c r="D28" s="4" t="s">
        <v>90</v>
      </c>
    </row>
    <row r="29" spans="1:5" x14ac:dyDescent="0.3">
      <c r="A29" s="8" t="s">
        <v>37</v>
      </c>
      <c r="B29" s="9" t="s">
        <v>237</v>
      </c>
      <c r="C29" s="6"/>
      <c r="D29" s="4" t="s">
        <v>90</v>
      </c>
    </row>
    <row r="30" spans="1:5" x14ac:dyDescent="0.3">
      <c r="A30" s="8" t="s">
        <v>28</v>
      </c>
      <c r="B30" s="9" t="s">
        <v>30</v>
      </c>
      <c r="C30" s="6"/>
      <c r="D30" s="8" t="s">
        <v>40</v>
      </c>
      <c r="E30" s="1"/>
    </row>
    <row r="31" spans="1:5" x14ac:dyDescent="0.3">
      <c r="A31" s="8" t="s">
        <v>10</v>
      </c>
      <c r="B31" s="9" t="s">
        <v>26</v>
      </c>
      <c r="C31" s="6" t="s">
        <v>44</v>
      </c>
      <c r="D31" s="8" t="s">
        <v>31</v>
      </c>
      <c r="E31" s="2"/>
    </row>
    <row r="32" spans="1:5" x14ac:dyDescent="0.3">
      <c r="A32" s="8" t="s">
        <v>32</v>
      </c>
      <c r="B32" s="9" t="s">
        <v>26</v>
      </c>
      <c r="C32" s="6" t="s">
        <v>44</v>
      </c>
      <c r="D32" s="4" t="s">
        <v>163</v>
      </c>
    </row>
    <row r="33" spans="1:5" x14ac:dyDescent="0.3">
      <c r="A33" s="8" t="s">
        <v>38</v>
      </c>
      <c r="B33" s="9" t="s">
        <v>26</v>
      </c>
      <c r="C33" s="6" t="s">
        <v>44</v>
      </c>
      <c r="D33" s="4" t="s">
        <v>163</v>
      </c>
      <c r="E33" s="1"/>
    </row>
    <row r="34" spans="1:5" x14ac:dyDescent="0.3">
      <c r="A34" s="8" t="s">
        <v>33</v>
      </c>
      <c r="B34" s="9" t="s">
        <v>30</v>
      </c>
      <c r="C34" s="6" t="s">
        <v>44</v>
      </c>
      <c r="D34" s="8" t="s">
        <v>42</v>
      </c>
    </row>
    <row r="35" spans="1:5" x14ac:dyDescent="0.3">
      <c r="A35" s="8" t="s">
        <v>34</v>
      </c>
      <c r="B35" s="9" t="s">
        <v>36</v>
      </c>
      <c r="C35" s="6"/>
      <c r="D35" s="8" t="s">
        <v>43</v>
      </c>
    </row>
    <row r="36" spans="1:5" x14ac:dyDescent="0.3">
      <c r="A36" s="8" t="s">
        <v>39</v>
      </c>
      <c r="B36" s="9" t="s">
        <v>36</v>
      </c>
      <c r="C36" s="6"/>
      <c r="D36" s="8" t="s">
        <v>43</v>
      </c>
    </row>
    <row r="37" spans="1:5" x14ac:dyDescent="0.3">
      <c r="A37" s="8" t="s">
        <v>35</v>
      </c>
      <c r="B37" s="9" t="s">
        <v>30</v>
      </c>
      <c r="C37" s="6"/>
      <c r="D37" s="8" t="s">
        <v>164</v>
      </c>
    </row>
    <row r="38" spans="1:5" x14ac:dyDescent="0.3">
      <c r="A38" s="8" t="s">
        <v>11</v>
      </c>
      <c r="B38" s="5" t="s">
        <v>231</v>
      </c>
      <c r="C38" s="6" t="s">
        <v>44</v>
      </c>
      <c r="D38" s="7" t="s">
        <v>165</v>
      </c>
    </row>
    <row r="39" spans="1:5" x14ac:dyDescent="0.3">
      <c r="A39" s="8" t="s">
        <v>12</v>
      </c>
      <c r="B39" s="5" t="s">
        <v>231</v>
      </c>
      <c r="C39" s="6" t="s">
        <v>44</v>
      </c>
      <c r="D39" s="7" t="s">
        <v>166</v>
      </c>
    </row>
    <row r="40" spans="1:5" x14ac:dyDescent="0.3">
      <c r="A40" s="8" t="s">
        <v>13</v>
      </c>
      <c r="B40" s="5" t="s">
        <v>48</v>
      </c>
      <c r="C40" s="6" t="s">
        <v>44</v>
      </c>
      <c r="D40" s="4" t="s">
        <v>90</v>
      </c>
    </row>
    <row r="41" spans="1:5" x14ac:dyDescent="0.3">
      <c r="A41" s="8" t="s">
        <v>14</v>
      </c>
      <c r="B41" s="5" t="s">
        <v>48</v>
      </c>
      <c r="C41" s="6" t="s">
        <v>44</v>
      </c>
      <c r="D41" s="4" t="s">
        <v>90</v>
      </c>
    </row>
    <row r="42" spans="1:5" x14ac:dyDescent="0.3">
      <c r="A42" s="8" t="s">
        <v>15</v>
      </c>
      <c r="B42" s="5" t="s">
        <v>48</v>
      </c>
      <c r="C42" s="6" t="s">
        <v>44</v>
      </c>
      <c r="D42" s="4" t="s">
        <v>89</v>
      </c>
    </row>
    <row r="43" spans="1:5" x14ac:dyDescent="0.3">
      <c r="A43" s="8" t="s">
        <v>16</v>
      </c>
      <c r="B43" s="5" t="s">
        <v>231</v>
      </c>
      <c r="C43" s="6" t="s">
        <v>44</v>
      </c>
      <c r="D43" s="4" t="s">
        <v>304</v>
      </c>
    </row>
    <row r="44" spans="1:5" x14ac:dyDescent="0.3">
      <c r="A44" s="8" t="s">
        <v>17</v>
      </c>
      <c r="B44" s="5" t="s">
        <v>231</v>
      </c>
      <c r="C44" s="6" t="s">
        <v>44</v>
      </c>
      <c r="D44" s="4" t="s">
        <v>305</v>
      </c>
    </row>
    <row r="45" spans="1:5" x14ac:dyDescent="0.3">
      <c r="A45" s="8" t="s">
        <v>18</v>
      </c>
      <c r="B45" s="5" t="s">
        <v>231</v>
      </c>
      <c r="C45" s="6" t="s">
        <v>44</v>
      </c>
      <c r="D45" s="4" t="s">
        <v>91</v>
      </c>
    </row>
    <row r="46" spans="1:5" ht="49.5" x14ac:dyDescent="0.3">
      <c r="A46" s="8" t="s">
        <v>109</v>
      </c>
      <c r="B46" s="5" t="s">
        <v>88</v>
      </c>
      <c r="C46" s="6"/>
      <c r="D46" s="7" t="s">
        <v>93</v>
      </c>
    </row>
    <row r="47" spans="1:5" x14ac:dyDescent="0.3">
      <c r="A47" s="8" t="s">
        <v>19</v>
      </c>
      <c r="B47" s="5" t="s">
        <v>231</v>
      </c>
      <c r="C47" s="6" t="s">
        <v>44</v>
      </c>
      <c r="D47" s="4" t="s">
        <v>167</v>
      </c>
    </row>
    <row r="48" spans="1:5" x14ac:dyDescent="0.3">
      <c r="A48" s="8" t="s">
        <v>20</v>
      </c>
      <c r="B48" s="5" t="s">
        <v>231</v>
      </c>
      <c r="C48" s="6" t="s">
        <v>44</v>
      </c>
      <c r="D48" s="4" t="s">
        <v>168</v>
      </c>
    </row>
    <row r="49" spans="1:4" x14ac:dyDescent="0.3">
      <c r="A49" s="8" t="s">
        <v>21</v>
      </c>
      <c r="B49" s="5" t="s">
        <v>231</v>
      </c>
      <c r="C49" s="6" t="s">
        <v>44</v>
      </c>
      <c r="D49" s="4" t="s">
        <v>169</v>
      </c>
    </row>
    <row r="50" spans="1:4" x14ac:dyDescent="0.3">
      <c r="A50" s="8" t="s">
        <v>22</v>
      </c>
      <c r="B50" s="5" t="s">
        <v>231</v>
      </c>
      <c r="C50" s="6" t="s">
        <v>44</v>
      </c>
      <c r="D50" s="4"/>
    </row>
    <row r="51" spans="1:4" x14ac:dyDescent="0.3">
      <c r="A51" s="8" t="s">
        <v>23</v>
      </c>
      <c r="B51" s="4" t="s">
        <v>88</v>
      </c>
      <c r="C51" s="6" t="s">
        <v>44</v>
      </c>
      <c r="D51" s="4" t="s">
        <v>173</v>
      </c>
    </row>
    <row r="52" spans="1:4" x14ac:dyDescent="0.3">
      <c r="A52" s="8" t="s">
        <v>24</v>
      </c>
      <c r="B52" s="4" t="s">
        <v>48</v>
      </c>
      <c r="C52" s="6" t="s">
        <v>44</v>
      </c>
      <c r="D52" s="4"/>
    </row>
    <row r="53" spans="1:4" x14ac:dyDescent="0.3">
      <c r="A53" s="8" t="s">
        <v>25</v>
      </c>
      <c r="B53" s="4" t="s">
        <v>26</v>
      </c>
      <c r="C53" s="6" t="s">
        <v>44</v>
      </c>
      <c r="D53" s="4"/>
    </row>
  </sheetData>
  <autoFilter ref="A12:D53"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Q22"/>
  <sheetViews>
    <sheetView showGridLines="0" zoomScale="70" zoomScaleNormal="70" workbookViewId="0">
      <selection activeCell="B5" sqref="B5"/>
    </sheetView>
  </sheetViews>
  <sheetFormatPr defaultRowHeight="16.5" outlineLevelCol="1" x14ac:dyDescent="0.3"/>
  <cols>
    <col min="1" max="1" width="10.21875" customWidth="1"/>
    <col min="3" max="3" width="30.88671875" customWidth="1"/>
    <col min="5" max="5" width="9.21875" customWidth="1" outlineLevel="1"/>
    <col min="6" max="6" width="11.88671875" customWidth="1" outlineLevel="1"/>
    <col min="7" max="7" width="9.21875" customWidth="1" outlineLevel="1"/>
    <col min="8" max="8" width="13.88671875" customWidth="1" outlineLevel="1"/>
    <col min="9" max="9" width="14.21875" customWidth="1" outlineLevel="1"/>
    <col min="10" max="10" width="13.5546875" customWidth="1" outlineLevel="1"/>
    <col min="11" max="11" width="11.5546875" customWidth="1" outlineLevel="1"/>
    <col min="12" max="12" width="21.109375" customWidth="1"/>
    <col min="13" max="24" width="12" hidden="1" customWidth="1" outlineLevel="1"/>
    <col min="25" max="25" width="12.21875" customWidth="1" collapsed="1"/>
    <col min="30" max="30" width="13.44140625" customWidth="1"/>
    <col min="31" max="42" width="9.21875" hidden="1" customWidth="1" outlineLevel="1"/>
    <col min="43" max="43" width="9.21875" collapsed="1"/>
  </cols>
  <sheetData>
    <row r="1" spans="1:42" ht="9.6" customHeight="1" x14ac:dyDescent="0.3"/>
    <row r="2" spans="1:42" ht="48.6" customHeight="1" x14ac:dyDescent="0.3">
      <c r="A2" s="54" t="s">
        <v>295</v>
      </c>
    </row>
    <row r="3" spans="1:42" ht="6.6" customHeight="1" x14ac:dyDescent="0.55000000000000004">
      <c r="A3" s="53"/>
    </row>
    <row r="4" spans="1:42" ht="24.6" customHeight="1" x14ac:dyDescent="0.3">
      <c r="A4" t="s">
        <v>256</v>
      </c>
      <c r="B4" s="59" t="s">
        <v>257</v>
      </c>
      <c r="C4" s="59"/>
      <c r="F4" s="59" t="s">
        <v>97</v>
      </c>
      <c r="G4" s="59"/>
      <c r="I4" s="59" t="s">
        <v>2</v>
      </c>
      <c r="J4" s="59"/>
    </row>
    <row r="5" spans="1:42" s="60" customFormat="1" ht="24.6" customHeight="1" thickBot="1" x14ac:dyDescent="0.35">
      <c r="B5" s="62" t="s">
        <v>291</v>
      </c>
      <c r="I5" s="62" t="s">
        <v>315</v>
      </c>
      <c r="Y5" s="83" t="s">
        <v>323</v>
      </c>
    </row>
    <row r="6" spans="1:42" x14ac:dyDescent="0.3">
      <c r="A6" s="49" t="s">
        <v>213</v>
      </c>
    </row>
    <row r="7" spans="1:42" x14ac:dyDescent="0.3">
      <c r="A7" s="49" t="s">
        <v>313</v>
      </c>
    </row>
    <row r="8" spans="1:42" x14ac:dyDescent="0.3">
      <c r="A8" s="50" t="s">
        <v>225</v>
      </c>
    </row>
    <row r="9" spans="1:42" x14ac:dyDescent="0.3">
      <c r="A9" s="49" t="s">
        <v>226</v>
      </c>
    </row>
    <row r="10" spans="1:42" x14ac:dyDescent="0.3">
      <c r="A10" s="49" t="s">
        <v>222</v>
      </c>
    </row>
    <row r="11" spans="1:42" x14ac:dyDescent="0.3">
      <c r="A11" s="49" t="s">
        <v>223</v>
      </c>
    </row>
    <row r="12" spans="1:42" s="20" customFormat="1" ht="15" x14ac:dyDescent="0.3">
      <c r="A12" s="68" t="s">
        <v>94</v>
      </c>
      <c r="B12" s="69"/>
      <c r="C12" s="69"/>
      <c r="D12" s="70"/>
      <c r="E12" s="76" t="s">
        <v>124</v>
      </c>
      <c r="F12" s="76"/>
      <c r="G12" s="76"/>
      <c r="H12" s="76"/>
      <c r="I12" s="76"/>
      <c r="J12" s="76"/>
      <c r="K12" s="76"/>
      <c r="L12" s="79" t="s">
        <v>182</v>
      </c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40" t="s">
        <v>219</v>
      </c>
      <c r="Z12" s="71" t="s">
        <v>228</v>
      </c>
      <c r="AA12" s="72"/>
      <c r="AB12" s="72"/>
      <c r="AC12" s="73"/>
      <c r="AD12" s="77" t="s">
        <v>217</v>
      </c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</row>
    <row r="13" spans="1:42" s="19" customFormat="1" ht="30" x14ac:dyDescent="0.25">
      <c r="A13" s="21" t="s">
        <v>110</v>
      </c>
      <c r="B13" s="21" t="s">
        <v>106</v>
      </c>
      <c r="C13" s="21" t="s">
        <v>97</v>
      </c>
      <c r="D13" s="21" t="s">
        <v>2</v>
      </c>
      <c r="E13" s="22" t="s">
        <v>100</v>
      </c>
      <c r="F13" s="22" t="s">
        <v>101</v>
      </c>
      <c r="G13" s="22" t="s">
        <v>102</v>
      </c>
      <c r="H13" s="22" t="s">
        <v>103</v>
      </c>
      <c r="I13" s="22" t="s">
        <v>104</v>
      </c>
      <c r="J13" s="22" t="s">
        <v>15</v>
      </c>
      <c r="K13" s="23" t="s">
        <v>105</v>
      </c>
      <c r="L13" s="26" t="s">
        <v>111</v>
      </c>
      <c r="M13" s="26" t="s">
        <v>112</v>
      </c>
      <c r="N13" s="26" t="s">
        <v>113</v>
      </c>
      <c r="O13" s="26" t="s">
        <v>114</v>
      </c>
      <c r="P13" s="26" t="s">
        <v>115</v>
      </c>
      <c r="Q13" s="26" t="s">
        <v>116</v>
      </c>
      <c r="R13" s="26" t="s">
        <v>117</v>
      </c>
      <c r="S13" s="26" t="s">
        <v>118</v>
      </c>
      <c r="T13" s="26" t="s">
        <v>119</v>
      </c>
      <c r="U13" s="26" t="s">
        <v>120</v>
      </c>
      <c r="V13" s="26" t="s">
        <v>121</v>
      </c>
      <c r="W13" s="26" t="s">
        <v>122</v>
      </c>
      <c r="X13" s="26" t="s">
        <v>123</v>
      </c>
      <c r="Y13" s="25" t="s">
        <v>127</v>
      </c>
      <c r="Z13" s="38" t="s">
        <v>179</v>
      </c>
      <c r="AA13" s="38" t="s">
        <v>180</v>
      </c>
      <c r="AB13" s="38" t="s">
        <v>181</v>
      </c>
      <c r="AC13" s="38" t="s">
        <v>186</v>
      </c>
      <c r="AD13" s="24" t="s">
        <v>111</v>
      </c>
      <c r="AE13" s="24" t="s">
        <v>112</v>
      </c>
      <c r="AF13" s="24" t="s">
        <v>113</v>
      </c>
      <c r="AG13" s="24" t="s">
        <v>114</v>
      </c>
      <c r="AH13" s="24" t="s">
        <v>115</v>
      </c>
      <c r="AI13" s="24" t="s">
        <v>116</v>
      </c>
      <c r="AJ13" s="24" t="s">
        <v>117</v>
      </c>
      <c r="AK13" s="24" t="s">
        <v>118</v>
      </c>
      <c r="AL13" s="24" t="s">
        <v>119</v>
      </c>
      <c r="AM13" s="24" t="s">
        <v>120</v>
      </c>
      <c r="AN13" s="24" t="s">
        <v>121</v>
      </c>
      <c r="AO13" s="24" t="s">
        <v>122</v>
      </c>
      <c r="AP13" s="24" t="s">
        <v>123</v>
      </c>
    </row>
    <row r="14" spans="1:42" x14ac:dyDescent="0.3">
      <c r="A14" s="27" t="s">
        <v>133</v>
      </c>
      <c r="B14" s="27" t="s">
        <v>130</v>
      </c>
      <c r="C14" s="27" t="s">
        <v>129</v>
      </c>
      <c r="D14" s="27" t="s">
        <v>75</v>
      </c>
      <c r="E14" s="28" t="s">
        <v>134</v>
      </c>
      <c r="F14" s="28" t="s">
        <v>135</v>
      </c>
      <c r="G14" s="28"/>
      <c r="H14" s="28"/>
      <c r="I14" s="28"/>
      <c r="J14" s="28"/>
      <c r="K14" s="28" t="s">
        <v>137</v>
      </c>
      <c r="L14" s="29">
        <v>1963000</v>
      </c>
      <c r="M14" s="29">
        <v>148000</v>
      </c>
      <c r="N14" s="29">
        <v>150000</v>
      </c>
      <c r="O14" s="29">
        <v>120000</v>
      </c>
      <c r="P14" s="29">
        <v>205000</v>
      </c>
      <c r="Q14" s="29">
        <v>159000</v>
      </c>
      <c r="R14" s="29">
        <v>200000</v>
      </c>
      <c r="S14" s="29">
        <v>160000</v>
      </c>
      <c r="T14" s="29">
        <v>112000</v>
      </c>
      <c r="U14" s="29">
        <v>144000</v>
      </c>
      <c r="V14" s="29">
        <v>230000</v>
      </c>
      <c r="W14" s="29">
        <v>180000</v>
      </c>
      <c r="X14" s="29">
        <v>155000</v>
      </c>
      <c r="Y14" s="30">
        <v>0.16701097652000674</v>
      </c>
      <c r="Z14" s="30"/>
      <c r="AA14" s="30"/>
      <c r="AB14" s="30"/>
      <c r="AC14" s="30"/>
      <c r="AD14" s="29">
        <v>1682075.0099999998</v>
      </c>
      <c r="AE14" s="29">
        <v>166465.65</v>
      </c>
      <c r="AF14" s="29">
        <v>129234.8</v>
      </c>
      <c r="AG14" s="29">
        <v>119829.42</v>
      </c>
      <c r="AH14" s="29">
        <v>188489.05</v>
      </c>
      <c r="AI14" s="29">
        <v>170248.98</v>
      </c>
      <c r="AJ14" s="29">
        <v>120951.53</v>
      </c>
      <c r="AK14" s="29">
        <v>126545.01</v>
      </c>
      <c r="AL14" s="29">
        <v>133172.97</v>
      </c>
      <c r="AM14" s="29">
        <v>103568.98</v>
      </c>
      <c r="AN14" s="29">
        <v>216144.44</v>
      </c>
      <c r="AO14" s="29">
        <v>89123.71</v>
      </c>
      <c r="AP14" s="29">
        <v>118300.47</v>
      </c>
    </row>
    <row r="15" spans="1:42" x14ac:dyDescent="0.3">
      <c r="A15" s="27" t="s">
        <v>133</v>
      </c>
      <c r="B15" s="27" t="s">
        <v>132</v>
      </c>
      <c r="C15" s="27" t="s">
        <v>131</v>
      </c>
      <c r="D15" s="27" t="s">
        <v>80</v>
      </c>
      <c r="E15" s="28" t="s">
        <v>134</v>
      </c>
      <c r="F15" s="28" t="s">
        <v>136</v>
      </c>
      <c r="G15" s="28"/>
      <c r="H15" s="28"/>
      <c r="I15" s="28"/>
      <c r="J15" s="28"/>
      <c r="K15" s="28" t="s">
        <v>137</v>
      </c>
      <c r="L15" s="29">
        <v>334950</v>
      </c>
      <c r="M15" s="29">
        <v>23100</v>
      </c>
      <c r="N15" s="29">
        <v>16800</v>
      </c>
      <c r="O15" s="29">
        <v>12600</v>
      </c>
      <c r="P15" s="29">
        <v>21000</v>
      </c>
      <c r="Q15" s="29">
        <v>36750</v>
      </c>
      <c r="R15" s="29">
        <v>33600</v>
      </c>
      <c r="S15" s="29">
        <v>17850</v>
      </c>
      <c r="T15" s="29">
        <v>16800</v>
      </c>
      <c r="U15" s="29">
        <v>39900</v>
      </c>
      <c r="V15" s="29">
        <v>42000</v>
      </c>
      <c r="W15" s="29">
        <v>31500</v>
      </c>
      <c r="X15" s="29">
        <v>43050</v>
      </c>
      <c r="Y15" s="30">
        <v>0.22690878545810356</v>
      </c>
      <c r="Z15" s="30"/>
      <c r="AA15" s="30"/>
      <c r="AB15" s="30"/>
      <c r="AC15" s="30"/>
      <c r="AD15" s="29">
        <v>273003.18</v>
      </c>
      <c r="AE15" s="29">
        <v>31520</v>
      </c>
      <c r="AF15" s="29">
        <v>3952</v>
      </c>
      <c r="AG15" s="29">
        <v>1170</v>
      </c>
      <c r="AH15" s="29">
        <v>19650</v>
      </c>
      <c r="AI15" s="29">
        <v>39400</v>
      </c>
      <c r="AJ15" s="29">
        <v>32240.799999999999</v>
      </c>
      <c r="AK15" s="29">
        <v>17006</v>
      </c>
      <c r="AL15" s="29">
        <v>19870.169999999998</v>
      </c>
      <c r="AM15" s="29">
        <v>21424.69</v>
      </c>
      <c r="AN15" s="29">
        <v>45846.62</v>
      </c>
      <c r="AO15" s="29">
        <v>9482</v>
      </c>
      <c r="AP15" s="29">
        <v>31440.9</v>
      </c>
    </row>
    <row r="16" spans="1:42" ht="175.5" customHeight="1" x14ac:dyDescent="0.3">
      <c r="A16" s="66" t="s">
        <v>229</v>
      </c>
      <c r="B16" s="67"/>
      <c r="C16" s="67"/>
      <c r="E16" s="80" t="s">
        <v>144</v>
      </c>
      <c r="F16" s="81"/>
      <c r="G16" s="81"/>
      <c r="H16" s="81"/>
      <c r="I16" s="81"/>
      <c r="J16" s="81"/>
      <c r="K16" s="81"/>
      <c r="L16" s="66" t="s">
        <v>184</v>
      </c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52" t="s">
        <v>221</v>
      </c>
      <c r="Z16" s="74" t="s">
        <v>230</v>
      </c>
      <c r="AA16" s="74"/>
      <c r="AB16" s="74"/>
      <c r="AC16" s="74"/>
      <c r="AD16" s="66" t="s">
        <v>227</v>
      </c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20" spans="4:4" x14ac:dyDescent="0.3">
      <c r="D20" t="s">
        <v>146</v>
      </c>
    </row>
    <row r="21" spans="4:4" x14ac:dyDescent="0.3">
      <c r="D21" t="s">
        <v>220</v>
      </c>
    </row>
    <row r="22" spans="4:4" x14ac:dyDescent="0.3">
      <c r="D22" t="s">
        <v>147</v>
      </c>
    </row>
  </sheetData>
  <mergeCells count="10">
    <mergeCell ref="Z12:AC12"/>
    <mergeCell ref="AD12:AP12"/>
    <mergeCell ref="AD16:AP16"/>
    <mergeCell ref="Z16:AC16"/>
    <mergeCell ref="A16:C16"/>
    <mergeCell ref="E16:K16"/>
    <mergeCell ref="L16:X16"/>
    <mergeCell ref="A12:D12"/>
    <mergeCell ref="E12:K12"/>
    <mergeCell ref="L12:X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"/>
  <sheetViews>
    <sheetView showGridLines="0" topLeftCell="E1" zoomScale="70" zoomScaleNormal="70" workbookViewId="0">
      <selection activeCell="S24" sqref="S24"/>
    </sheetView>
  </sheetViews>
  <sheetFormatPr defaultRowHeight="16.5" outlineLevelCol="1" x14ac:dyDescent="0.3"/>
  <cols>
    <col min="1" max="1" width="10.21875" customWidth="1"/>
    <col min="3" max="3" width="30.88671875" customWidth="1"/>
    <col min="5" max="5" width="9.21875" customWidth="1" outlineLevel="1"/>
    <col min="6" max="6" width="11.88671875" customWidth="1" outlineLevel="1"/>
    <col min="7" max="7" width="9.21875" customWidth="1" outlineLevel="1"/>
    <col min="8" max="8" width="13.88671875" customWidth="1" outlineLevel="1"/>
    <col min="9" max="9" width="14.21875" customWidth="1" outlineLevel="1"/>
    <col min="10" max="10" width="13.5546875" customWidth="1" outlineLevel="1"/>
    <col min="11" max="11" width="11.5546875" customWidth="1" outlineLevel="1"/>
    <col min="12" max="12" width="18.88671875" customWidth="1"/>
    <col min="13" max="24" width="12" customWidth="1" outlineLevel="1"/>
    <col min="25" max="25" width="12.21875" customWidth="1"/>
    <col min="26" max="26" width="12.44140625" customWidth="1"/>
  </cols>
  <sheetData>
    <row r="1" spans="1:38" ht="9.6" customHeight="1" x14ac:dyDescent="0.3"/>
    <row r="2" spans="1:38" ht="48.6" customHeight="1" x14ac:dyDescent="0.3">
      <c r="A2" s="54" t="s">
        <v>296</v>
      </c>
    </row>
    <row r="3" spans="1:38" ht="6.6" customHeight="1" x14ac:dyDescent="0.55000000000000004">
      <c r="A3" s="53"/>
    </row>
    <row r="4" spans="1:38" ht="24.6" customHeight="1" x14ac:dyDescent="0.3">
      <c r="A4" t="s">
        <v>256</v>
      </c>
      <c r="B4" s="59" t="s">
        <v>257</v>
      </c>
      <c r="C4" s="59"/>
      <c r="F4" s="59" t="s">
        <v>97</v>
      </c>
      <c r="G4" s="59"/>
      <c r="I4" s="59" t="s">
        <v>2</v>
      </c>
      <c r="J4" s="59"/>
    </row>
    <row r="5" spans="1:38" s="60" customFormat="1" ht="24.6" customHeight="1" x14ac:dyDescent="0.3">
      <c r="B5" s="62" t="s">
        <v>260</v>
      </c>
      <c r="I5" s="62" t="s">
        <v>315</v>
      </c>
    </row>
    <row r="6" spans="1:38" x14ac:dyDescent="0.3">
      <c r="A6" s="49" t="s">
        <v>213</v>
      </c>
    </row>
    <row r="7" spans="1:38" x14ac:dyDescent="0.3">
      <c r="A7" s="49" t="s">
        <v>313</v>
      </c>
    </row>
    <row r="8" spans="1:38" x14ac:dyDescent="0.3">
      <c r="A8" s="50" t="s">
        <v>224</v>
      </c>
    </row>
    <row r="9" spans="1:38" x14ac:dyDescent="0.3">
      <c r="A9" s="49" t="s">
        <v>226</v>
      </c>
    </row>
    <row r="10" spans="1:38" x14ac:dyDescent="0.3">
      <c r="A10" s="49" t="s">
        <v>222</v>
      </c>
    </row>
    <row r="11" spans="1:38" x14ac:dyDescent="0.3">
      <c r="A11" s="49" t="s">
        <v>223</v>
      </c>
    </row>
    <row r="12" spans="1:38" s="20" customFormat="1" ht="15" x14ac:dyDescent="0.3">
      <c r="A12" s="68" t="s">
        <v>94</v>
      </c>
      <c r="B12" s="69"/>
      <c r="C12" s="69"/>
      <c r="D12" s="70"/>
      <c r="E12" s="76" t="s">
        <v>124</v>
      </c>
      <c r="F12" s="76"/>
      <c r="G12" s="76"/>
      <c r="H12" s="76"/>
      <c r="I12" s="76"/>
      <c r="J12" s="76"/>
      <c r="K12" s="76"/>
      <c r="L12" s="79" t="s">
        <v>182</v>
      </c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40" t="s">
        <v>219</v>
      </c>
      <c r="Z12" s="39" t="s">
        <v>217</v>
      </c>
    </row>
    <row r="13" spans="1:38" s="19" customFormat="1" ht="30" x14ac:dyDescent="0.25">
      <c r="A13" s="21" t="s">
        <v>110</v>
      </c>
      <c r="B13" s="21" t="s">
        <v>106</v>
      </c>
      <c r="C13" s="21" t="s">
        <v>97</v>
      </c>
      <c r="D13" s="21" t="s">
        <v>2</v>
      </c>
      <c r="E13" s="22" t="s">
        <v>100</v>
      </c>
      <c r="F13" s="22" t="s">
        <v>101</v>
      </c>
      <c r="G13" s="22" t="s">
        <v>102</v>
      </c>
      <c r="H13" s="22" t="s">
        <v>103</v>
      </c>
      <c r="I13" s="22" t="s">
        <v>104</v>
      </c>
      <c r="J13" s="22" t="s">
        <v>15</v>
      </c>
      <c r="K13" s="23" t="s">
        <v>105</v>
      </c>
      <c r="L13" s="26" t="s">
        <v>111</v>
      </c>
      <c r="M13" s="26" t="s">
        <v>112</v>
      </c>
      <c r="N13" s="26" t="s">
        <v>113</v>
      </c>
      <c r="O13" s="26" t="s">
        <v>114</v>
      </c>
      <c r="P13" s="26" t="s">
        <v>115</v>
      </c>
      <c r="Q13" s="26" t="s">
        <v>116</v>
      </c>
      <c r="R13" s="26" t="s">
        <v>117</v>
      </c>
      <c r="S13" s="26" t="s">
        <v>118</v>
      </c>
      <c r="T13" s="26" t="s">
        <v>119</v>
      </c>
      <c r="U13" s="26" t="s">
        <v>120</v>
      </c>
      <c r="V13" s="26" t="s">
        <v>121</v>
      </c>
      <c r="W13" s="26" t="s">
        <v>122</v>
      </c>
      <c r="X13" s="26" t="s">
        <v>123</v>
      </c>
      <c r="Y13" s="25" t="s">
        <v>127</v>
      </c>
      <c r="Z13" s="24" t="s">
        <v>111</v>
      </c>
    </row>
    <row r="14" spans="1:38" x14ac:dyDescent="0.3">
      <c r="A14" s="27" t="s">
        <v>133</v>
      </c>
      <c r="B14" s="27" t="s">
        <v>130</v>
      </c>
      <c r="C14" s="27" t="s">
        <v>129</v>
      </c>
      <c r="D14" s="27" t="s">
        <v>75</v>
      </c>
      <c r="E14" s="28" t="s">
        <v>134</v>
      </c>
      <c r="F14" s="28" t="s">
        <v>135</v>
      </c>
      <c r="G14" s="28"/>
      <c r="H14" s="28"/>
      <c r="I14" s="28"/>
      <c r="J14" s="28"/>
      <c r="K14" s="28" t="s">
        <v>137</v>
      </c>
      <c r="L14" s="29">
        <v>1963000</v>
      </c>
      <c r="M14" s="29">
        <v>148000</v>
      </c>
      <c r="N14" s="29">
        <v>150000</v>
      </c>
      <c r="O14" s="29">
        <v>120000</v>
      </c>
      <c r="P14" s="29">
        <v>205000</v>
      </c>
      <c r="Q14" s="29">
        <v>159000</v>
      </c>
      <c r="R14" s="29">
        <v>200000</v>
      </c>
      <c r="S14" s="29">
        <v>160000</v>
      </c>
      <c r="T14" s="29">
        <v>112000</v>
      </c>
      <c r="U14" s="29">
        <v>144000</v>
      </c>
      <c r="V14" s="29">
        <v>230000</v>
      </c>
      <c r="W14" s="29">
        <v>180000</v>
      </c>
      <c r="X14" s="29">
        <v>155000</v>
      </c>
      <c r="Y14" s="30">
        <v>0.16701097652000674</v>
      </c>
      <c r="Z14" s="29">
        <v>1682075.0099999998</v>
      </c>
    </row>
    <row r="15" spans="1:38" x14ac:dyDescent="0.3">
      <c r="A15" s="27" t="s">
        <v>133</v>
      </c>
      <c r="B15" s="27" t="s">
        <v>132</v>
      </c>
      <c r="C15" s="27" t="s">
        <v>131</v>
      </c>
      <c r="D15" s="27" t="s">
        <v>80</v>
      </c>
      <c r="E15" s="28" t="s">
        <v>134</v>
      </c>
      <c r="F15" s="28" t="s">
        <v>136</v>
      </c>
      <c r="G15" s="28"/>
      <c r="H15" s="28"/>
      <c r="I15" s="28"/>
      <c r="J15" s="28"/>
      <c r="K15" s="28" t="s">
        <v>137</v>
      </c>
      <c r="L15" s="29">
        <v>334950</v>
      </c>
      <c r="M15" s="29">
        <v>23100</v>
      </c>
      <c r="N15" s="29">
        <v>16800</v>
      </c>
      <c r="O15" s="29">
        <v>12600</v>
      </c>
      <c r="P15" s="29">
        <v>21000</v>
      </c>
      <c r="Q15" s="29">
        <v>36750</v>
      </c>
      <c r="R15" s="29">
        <v>33600</v>
      </c>
      <c r="S15" s="29">
        <v>17850</v>
      </c>
      <c r="T15" s="29">
        <v>16800</v>
      </c>
      <c r="U15" s="29">
        <v>39900</v>
      </c>
      <c r="V15" s="29">
        <v>42000</v>
      </c>
      <c r="W15" s="29">
        <v>31500</v>
      </c>
      <c r="X15" s="29">
        <v>43050</v>
      </c>
      <c r="Y15" s="30">
        <v>0.22690878545810356</v>
      </c>
      <c r="Z15" s="29">
        <v>273003.18</v>
      </c>
    </row>
    <row r="16" spans="1:38" ht="175.5" customHeight="1" x14ac:dyDescent="0.3">
      <c r="A16" s="66" t="s">
        <v>229</v>
      </c>
      <c r="B16" s="67"/>
      <c r="C16" s="67"/>
      <c r="E16" s="80" t="s">
        <v>144</v>
      </c>
      <c r="F16" s="81"/>
      <c r="G16" s="81"/>
      <c r="H16" s="81"/>
      <c r="I16" s="81"/>
      <c r="J16" s="81"/>
      <c r="K16" s="81"/>
      <c r="L16" s="66" t="s">
        <v>184</v>
      </c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52" t="s">
        <v>221</v>
      </c>
      <c r="Z16" s="52" t="s">
        <v>227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20" spans="4:4" x14ac:dyDescent="0.3">
      <c r="D20" t="s">
        <v>146</v>
      </c>
    </row>
    <row r="21" spans="4:4" x14ac:dyDescent="0.3">
      <c r="D21" t="s">
        <v>220</v>
      </c>
    </row>
    <row r="22" spans="4:4" x14ac:dyDescent="0.3">
      <c r="D22" t="s">
        <v>147</v>
      </c>
    </row>
  </sheetData>
  <mergeCells count="6">
    <mergeCell ref="A12:D12"/>
    <mergeCell ref="E12:K12"/>
    <mergeCell ref="L12:X12"/>
    <mergeCell ref="A16:C16"/>
    <mergeCell ref="E16:K16"/>
    <mergeCell ref="L16:X1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36"/>
  <sheetViews>
    <sheetView showGridLines="0" zoomScale="70" zoomScaleNormal="70" workbookViewId="0">
      <selection activeCell="I4" sqref="I4"/>
    </sheetView>
  </sheetViews>
  <sheetFormatPr defaultRowHeight="16.5" x14ac:dyDescent="0.3"/>
  <cols>
    <col min="1" max="1" width="13.5546875" customWidth="1"/>
    <col min="2" max="2" width="9.33203125" customWidth="1"/>
    <col min="3" max="3" width="32.6640625" customWidth="1"/>
    <col min="4" max="4" width="13.33203125" customWidth="1"/>
    <col min="5" max="5" width="12.6640625" customWidth="1"/>
    <col min="6" max="6" width="11.44140625" customWidth="1"/>
    <col min="7" max="7" width="10.6640625" style="16" bestFit="1" customWidth="1"/>
    <col min="8" max="8" width="12" style="16" customWidth="1"/>
    <col min="9" max="9" width="11" customWidth="1"/>
    <col min="17" max="17" width="7.33203125" customWidth="1"/>
    <col min="21" max="21" width="9.21875" hidden="1" customWidth="1"/>
  </cols>
  <sheetData>
    <row r="1" spans="1:18" ht="4.5" customHeight="1" x14ac:dyDescent="0.3"/>
    <row r="2" spans="1:18" s="15" customFormat="1" ht="31.5" x14ac:dyDescent="0.5">
      <c r="A2" s="13" t="s">
        <v>297</v>
      </c>
      <c r="B2" s="14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4.5" customHeight="1" x14ac:dyDescent="0.3">
      <c r="A3" s="34"/>
      <c r="B3" s="34"/>
      <c r="C3" s="34"/>
      <c r="D3" s="34"/>
      <c r="F3" s="34"/>
      <c r="G3" s="35"/>
      <c r="H3" s="35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ht="24.6" customHeight="1" x14ac:dyDescent="0.3">
      <c r="A4" t="s">
        <v>256</v>
      </c>
      <c r="B4" s="59" t="s">
        <v>257</v>
      </c>
      <c r="C4" s="59"/>
      <c r="E4" s="59" t="s">
        <v>262</v>
      </c>
      <c r="F4" s="59"/>
      <c r="H4" s="59" t="s">
        <v>264</v>
      </c>
      <c r="I4" s="59"/>
      <c r="L4" s="59" t="s">
        <v>97</v>
      </c>
      <c r="M4" s="59"/>
      <c r="O4" s="59" t="s">
        <v>2</v>
      </c>
      <c r="P4" s="59"/>
    </row>
    <row r="5" spans="1:18" s="60" customFormat="1" ht="24.6" customHeight="1" x14ac:dyDescent="0.3">
      <c r="B5" s="62" t="s">
        <v>291</v>
      </c>
      <c r="E5" s="61" t="s">
        <v>263</v>
      </c>
      <c r="G5" s="63"/>
      <c r="O5" s="62" t="s">
        <v>315</v>
      </c>
    </row>
    <row r="6" spans="1:18" s="60" customFormat="1" ht="9.6" customHeight="1" x14ac:dyDescent="0.3">
      <c r="B6" s="62"/>
      <c r="E6" s="61"/>
      <c r="G6" s="63"/>
    </row>
    <row r="7" spans="1:18" ht="20.45" customHeight="1" x14ac:dyDescent="0.3">
      <c r="A7" s="49" t="s">
        <v>211</v>
      </c>
      <c r="B7" s="34"/>
      <c r="C7" s="34"/>
      <c r="D7" s="34"/>
      <c r="E7" s="61"/>
      <c r="F7" s="34"/>
      <c r="G7" s="35"/>
      <c r="H7" s="35"/>
      <c r="K7" s="34"/>
      <c r="L7" s="34"/>
      <c r="M7" s="34"/>
      <c r="N7" s="34"/>
      <c r="O7" s="34"/>
      <c r="P7" s="34"/>
      <c r="Q7" s="64" t="s">
        <v>265</v>
      </c>
      <c r="R7" s="55" t="s">
        <v>277</v>
      </c>
    </row>
    <row r="8" spans="1:18" ht="20.45" customHeight="1" x14ac:dyDescent="0.3">
      <c r="A8" s="50" t="s">
        <v>216</v>
      </c>
      <c r="B8" s="34"/>
      <c r="C8" s="34"/>
      <c r="D8" s="34"/>
      <c r="E8" s="34"/>
      <c r="F8" s="34"/>
      <c r="G8" s="35"/>
      <c r="H8" s="35"/>
      <c r="I8" s="34"/>
      <c r="J8" s="34"/>
      <c r="K8" s="34"/>
      <c r="L8" s="34"/>
      <c r="M8" s="34"/>
      <c r="N8" s="34"/>
      <c r="O8" s="34"/>
      <c r="P8" s="34"/>
      <c r="Q8" s="64" t="s">
        <v>266</v>
      </c>
      <c r="R8" s="55" t="s">
        <v>278</v>
      </c>
    </row>
    <row r="9" spans="1:18" ht="20.45" customHeight="1" x14ac:dyDescent="0.3">
      <c r="A9" s="49" t="s">
        <v>213</v>
      </c>
      <c r="B9" s="34"/>
      <c r="C9" s="34"/>
      <c r="D9" s="34"/>
      <c r="E9" s="34"/>
      <c r="F9" s="34"/>
      <c r="G9" s="35"/>
      <c r="H9" s="35"/>
      <c r="I9" s="34"/>
      <c r="J9" s="34"/>
      <c r="K9" s="34"/>
      <c r="L9" s="34"/>
      <c r="M9" s="34"/>
      <c r="N9" s="34"/>
      <c r="O9" s="34"/>
      <c r="P9" s="34"/>
      <c r="Q9" s="64" t="s">
        <v>267</v>
      </c>
      <c r="R9" s="55" t="s">
        <v>279</v>
      </c>
    </row>
    <row r="10" spans="1:18" ht="20.45" customHeight="1" x14ac:dyDescent="0.3">
      <c r="A10" s="49" t="s">
        <v>215</v>
      </c>
      <c r="B10" s="34"/>
      <c r="C10" s="34"/>
      <c r="D10" s="34"/>
      <c r="E10" s="34"/>
      <c r="F10" s="34"/>
      <c r="G10" s="35"/>
      <c r="H10" s="35"/>
      <c r="I10" s="34"/>
      <c r="J10" s="34"/>
      <c r="K10" s="34"/>
      <c r="L10" s="34"/>
      <c r="M10" s="34"/>
      <c r="N10" s="34"/>
      <c r="O10" s="34"/>
      <c r="P10" s="34"/>
      <c r="Q10" s="64" t="s">
        <v>268</v>
      </c>
      <c r="R10" s="55" t="s">
        <v>280</v>
      </c>
    </row>
    <row r="11" spans="1:18" ht="20.45" customHeight="1" x14ac:dyDescent="0.3">
      <c r="A11" s="50" t="s">
        <v>214</v>
      </c>
      <c r="B11" s="34"/>
      <c r="C11" s="34"/>
      <c r="D11" s="34"/>
      <c r="E11" s="34"/>
      <c r="F11" s="34"/>
      <c r="G11" s="35"/>
      <c r="H11" s="35"/>
      <c r="I11" s="34"/>
      <c r="J11" s="34"/>
      <c r="K11" s="34"/>
      <c r="L11" s="34"/>
      <c r="M11" s="34"/>
      <c r="N11" s="34"/>
      <c r="O11" s="34"/>
      <c r="P11" s="34"/>
      <c r="Q11" s="64" t="s">
        <v>269</v>
      </c>
      <c r="R11" s="55" t="s">
        <v>281</v>
      </c>
    </row>
    <row r="12" spans="1:18" ht="20.45" customHeight="1" x14ac:dyDescent="0.3">
      <c r="A12" s="49" t="s">
        <v>314</v>
      </c>
      <c r="B12" s="34"/>
      <c r="C12" s="34"/>
      <c r="D12" s="34"/>
      <c r="E12" s="34"/>
      <c r="F12" s="34"/>
      <c r="G12" s="35"/>
      <c r="H12" s="35"/>
      <c r="I12" s="34"/>
      <c r="J12" s="34"/>
      <c r="K12" s="34"/>
      <c r="L12" s="34"/>
      <c r="M12" s="34"/>
      <c r="N12" s="34"/>
      <c r="O12" s="34"/>
      <c r="P12" s="34"/>
      <c r="Q12" s="64" t="s">
        <v>270</v>
      </c>
      <c r="R12" s="55" t="s">
        <v>282</v>
      </c>
    </row>
    <row r="13" spans="1:18" ht="20.45" customHeight="1" x14ac:dyDescent="0.3">
      <c r="A13" s="49" t="s">
        <v>222</v>
      </c>
      <c r="B13" s="34"/>
      <c r="C13" s="34"/>
      <c r="D13" s="34"/>
      <c r="E13" s="34"/>
      <c r="F13" s="34"/>
      <c r="G13" s="35"/>
      <c r="H13" s="35"/>
      <c r="I13" s="34"/>
      <c r="J13" s="34"/>
      <c r="K13" s="34"/>
      <c r="L13" s="34"/>
      <c r="M13" s="34"/>
      <c r="N13" s="34"/>
      <c r="O13" s="34"/>
      <c r="P13" s="34"/>
      <c r="Q13" s="64" t="s">
        <v>271</v>
      </c>
      <c r="R13" s="55" t="s">
        <v>283</v>
      </c>
    </row>
    <row r="14" spans="1:18" ht="20.45" customHeight="1" x14ac:dyDescent="0.3">
      <c r="A14" s="49" t="s">
        <v>223</v>
      </c>
      <c r="B14" s="34"/>
      <c r="C14" s="34"/>
      <c r="D14" s="34"/>
      <c r="E14" s="34"/>
      <c r="F14" s="34"/>
      <c r="G14" s="35"/>
      <c r="H14" s="35"/>
      <c r="I14" s="34"/>
      <c r="J14" s="34"/>
      <c r="K14" s="34"/>
      <c r="L14" s="34"/>
      <c r="M14" s="34"/>
      <c r="N14" s="34"/>
      <c r="O14" s="34"/>
      <c r="P14" s="34"/>
      <c r="Q14" s="64" t="s">
        <v>272</v>
      </c>
      <c r="R14" s="55" t="s">
        <v>284</v>
      </c>
    </row>
    <row r="15" spans="1:18" ht="20.45" customHeight="1" x14ac:dyDescent="0.3">
      <c r="A15" s="49" t="s">
        <v>218</v>
      </c>
      <c r="B15" s="34"/>
      <c r="C15" s="34"/>
      <c r="D15" s="34"/>
      <c r="E15" s="34"/>
      <c r="F15" s="34"/>
      <c r="G15" s="35"/>
      <c r="H15" s="35"/>
      <c r="I15" s="34"/>
      <c r="J15" s="34"/>
      <c r="K15" s="34"/>
      <c r="L15" s="34"/>
      <c r="M15" s="34"/>
      <c r="N15" s="34"/>
      <c r="O15" s="34"/>
      <c r="P15" s="34"/>
      <c r="Q15" s="64" t="s">
        <v>273</v>
      </c>
      <c r="R15" s="55" t="s">
        <v>285</v>
      </c>
    </row>
    <row r="16" spans="1:18" x14ac:dyDescent="0.3">
      <c r="A16" s="31" t="s">
        <v>197</v>
      </c>
      <c r="Q16" s="64" t="s">
        <v>274</v>
      </c>
      <c r="R16" s="55" t="s">
        <v>286</v>
      </c>
    </row>
    <row r="17" spans="1:21" x14ac:dyDescent="0.3">
      <c r="A17" s="28" t="s">
        <v>0</v>
      </c>
      <c r="B17" s="28" t="s">
        <v>1</v>
      </c>
      <c r="C17" s="28" t="s">
        <v>141</v>
      </c>
      <c r="D17" s="28" t="s">
        <v>200</v>
      </c>
      <c r="E17" s="28" t="s">
        <v>2</v>
      </c>
      <c r="F17" s="28" t="s">
        <v>3</v>
      </c>
      <c r="G17" s="29" t="s">
        <v>150</v>
      </c>
      <c r="H17" s="28" t="s">
        <v>142</v>
      </c>
      <c r="Q17" s="64" t="s">
        <v>275</v>
      </c>
      <c r="R17" s="55" t="s">
        <v>287</v>
      </c>
    </row>
    <row r="18" spans="1:21" x14ac:dyDescent="0.3">
      <c r="A18" s="28" t="s">
        <v>143</v>
      </c>
      <c r="B18" s="28" t="s">
        <v>130</v>
      </c>
      <c r="C18" s="28" t="s">
        <v>128</v>
      </c>
      <c r="D18" s="28" t="s">
        <v>201</v>
      </c>
      <c r="E18" s="28" t="s">
        <v>75</v>
      </c>
      <c r="F18" s="29">
        <v>150000</v>
      </c>
      <c r="G18" s="29">
        <v>10000</v>
      </c>
      <c r="H18" s="47">
        <f>SUM(F18:G18)</f>
        <v>160000</v>
      </c>
      <c r="Q18" s="64" t="s">
        <v>276</v>
      </c>
      <c r="R18" s="55" t="s">
        <v>288</v>
      </c>
    </row>
    <row r="19" spans="1:21" x14ac:dyDescent="0.3">
      <c r="A19" s="28" t="s">
        <v>143</v>
      </c>
      <c r="B19" s="28" t="s">
        <v>202</v>
      </c>
      <c r="C19" s="28" t="s">
        <v>203</v>
      </c>
      <c r="D19" s="32" t="s">
        <v>204</v>
      </c>
      <c r="E19" s="28" t="s">
        <v>75</v>
      </c>
      <c r="F19" s="29">
        <v>800000</v>
      </c>
      <c r="G19" s="29"/>
      <c r="H19" s="47">
        <f>SUM(F19:G19)</f>
        <v>800000</v>
      </c>
      <c r="I19" s="36"/>
      <c r="Q19" s="64" t="s">
        <v>289</v>
      </c>
      <c r="R19" s="55" t="s">
        <v>290</v>
      </c>
    </row>
    <row r="21" spans="1:21" x14ac:dyDescent="0.3">
      <c r="F21" t="s">
        <v>146</v>
      </c>
    </row>
    <row r="22" spans="1:21" x14ac:dyDescent="0.3">
      <c r="D22" t="s">
        <v>205</v>
      </c>
      <c r="F22" t="s">
        <v>149</v>
      </c>
    </row>
    <row r="23" spans="1:21" x14ac:dyDescent="0.3">
      <c r="F23" t="s">
        <v>199</v>
      </c>
    </row>
    <row r="24" spans="1:21" x14ac:dyDescent="0.3">
      <c r="A24" s="31" t="s">
        <v>198</v>
      </c>
    </row>
    <row r="25" spans="1:21" x14ac:dyDescent="0.3">
      <c r="A25" s="28" t="s">
        <v>0</v>
      </c>
      <c r="B25" s="28" t="s">
        <v>1</v>
      </c>
      <c r="C25" s="28" t="s">
        <v>97</v>
      </c>
      <c r="D25" s="28" t="s">
        <v>200</v>
      </c>
      <c r="E25" s="28" t="s">
        <v>2</v>
      </c>
      <c r="F25" s="28" t="s">
        <v>3</v>
      </c>
      <c r="G25" s="29" t="s">
        <v>150</v>
      </c>
      <c r="H25" s="29" t="s">
        <v>140</v>
      </c>
      <c r="I25" s="28" t="s">
        <v>142</v>
      </c>
    </row>
    <row r="26" spans="1:21" x14ac:dyDescent="0.3">
      <c r="A26" s="28" t="s">
        <v>143</v>
      </c>
      <c r="B26" s="28" t="s">
        <v>130</v>
      </c>
      <c r="C26" s="28" t="s">
        <v>128</v>
      </c>
      <c r="D26" s="28" t="s">
        <v>201</v>
      </c>
      <c r="E26" s="28" t="s">
        <v>75</v>
      </c>
      <c r="F26" s="29">
        <v>150000</v>
      </c>
      <c r="G26" s="29">
        <v>10000</v>
      </c>
      <c r="H26" s="29">
        <v>5000</v>
      </c>
      <c r="I26" s="47">
        <f>SUM(G26:H26)</f>
        <v>15000</v>
      </c>
    </row>
    <row r="27" spans="1:21" x14ac:dyDescent="0.3">
      <c r="A27" s="28" t="s">
        <v>143</v>
      </c>
      <c r="B27" s="28" t="s">
        <v>202</v>
      </c>
      <c r="C27" s="28" t="s">
        <v>203</v>
      </c>
      <c r="D27" s="32" t="s">
        <v>204</v>
      </c>
      <c r="E27" s="28" t="s">
        <v>75</v>
      </c>
      <c r="F27" s="29">
        <v>800000</v>
      </c>
      <c r="G27" s="29"/>
      <c r="H27" s="29"/>
      <c r="I27" s="47">
        <f>SUM(G27:H27)</f>
        <v>0</v>
      </c>
    </row>
    <row r="29" spans="1:21" x14ac:dyDescent="0.3">
      <c r="A29" s="50" t="s">
        <v>210</v>
      </c>
      <c r="H29" s="49" t="s">
        <v>208</v>
      </c>
    </row>
    <row r="30" spans="1:21" x14ac:dyDescent="0.3">
      <c r="D30" s="49" t="s">
        <v>195</v>
      </c>
      <c r="H30" s="45" t="s">
        <v>209</v>
      </c>
    </row>
    <row r="31" spans="1:21" x14ac:dyDescent="0.3">
      <c r="A31" s="31" t="s">
        <v>212</v>
      </c>
      <c r="C31" s="51" t="s">
        <v>188</v>
      </c>
      <c r="D31" s="46" t="s">
        <v>190</v>
      </c>
      <c r="E31" s="46"/>
      <c r="G31" t="s">
        <v>206</v>
      </c>
      <c r="H31" s="46" t="s">
        <v>207</v>
      </c>
    </row>
    <row r="32" spans="1:21" x14ac:dyDescent="0.3">
      <c r="A32" s="32" t="s">
        <v>109</v>
      </c>
      <c r="B32" s="32" t="s">
        <v>5</v>
      </c>
      <c r="C32" s="32" t="s">
        <v>96</v>
      </c>
      <c r="D32" s="28" t="s">
        <v>200</v>
      </c>
      <c r="E32" s="32" t="s">
        <v>107</v>
      </c>
      <c r="F32" s="48" t="s">
        <v>111</v>
      </c>
      <c r="G32" s="48" t="s">
        <v>112</v>
      </c>
      <c r="H32" s="48" t="s">
        <v>113</v>
      </c>
      <c r="I32" s="48" t="s">
        <v>114</v>
      </c>
      <c r="J32" s="48" t="s">
        <v>115</v>
      </c>
      <c r="K32" s="48" t="s">
        <v>116</v>
      </c>
      <c r="L32" s="48" t="s">
        <v>117</v>
      </c>
      <c r="M32" s="48" t="s">
        <v>118</v>
      </c>
      <c r="N32" s="48" t="s">
        <v>119</v>
      </c>
      <c r="O32" s="48" t="s">
        <v>120</v>
      </c>
      <c r="P32" s="48" t="s">
        <v>121</v>
      </c>
      <c r="Q32" s="48" t="s">
        <v>122</v>
      </c>
      <c r="R32" s="48" t="s">
        <v>123</v>
      </c>
      <c r="U32" t="s">
        <v>189</v>
      </c>
    </row>
    <row r="33" spans="1:21" x14ac:dyDescent="0.3">
      <c r="A33" s="32"/>
      <c r="B33" s="32"/>
      <c r="C33" s="32"/>
      <c r="D33" s="32"/>
      <c r="E33" s="32"/>
      <c r="F33" s="32"/>
      <c r="G33" s="33"/>
      <c r="H33" s="33"/>
      <c r="I33" s="32"/>
      <c r="J33" s="32"/>
      <c r="K33" s="32"/>
      <c r="L33" s="32"/>
      <c r="M33" s="32"/>
      <c r="N33" s="32"/>
      <c r="O33" s="32"/>
      <c r="P33" s="32"/>
      <c r="Q33" s="32"/>
      <c r="R33" s="32"/>
      <c r="U33" t="s">
        <v>190</v>
      </c>
    </row>
    <row r="34" spans="1:21" x14ac:dyDescent="0.3">
      <c r="A34" s="32"/>
      <c r="B34" s="32"/>
      <c r="C34" s="32"/>
      <c r="D34" s="32"/>
      <c r="E34" s="32"/>
      <c r="F34" s="32"/>
      <c r="G34" s="33"/>
      <c r="H34" s="33"/>
      <c r="I34" s="32"/>
      <c r="J34" s="32"/>
      <c r="K34" s="32"/>
      <c r="L34" s="32"/>
      <c r="M34" s="32"/>
      <c r="N34" s="32"/>
      <c r="O34" s="32"/>
      <c r="P34" s="32"/>
      <c r="Q34" s="32"/>
      <c r="R34" s="32"/>
      <c r="U34" t="s">
        <v>191</v>
      </c>
    </row>
    <row r="35" spans="1:21" x14ac:dyDescent="0.3">
      <c r="A35" s="32"/>
      <c r="B35" s="32"/>
      <c r="C35" s="32"/>
      <c r="D35" s="32"/>
      <c r="E35" s="32"/>
      <c r="F35" s="32"/>
      <c r="G35" s="33"/>
      <c r="H35" s="33"/>
      <c r="I35" s="32"/>
      <c r="J35" s="32"/>
      <c r="K35" s="32"/>
      <c r="L35" s="32"/>
      <c r="M35" s="32"/>
      <c r="N35" s="32"/>
      <c r="O35" s="32"/>
      <c r="P35" s="32"/>
      <c r="Q35" s="32"/>
      <c r="R35" s="32"/>
      <c r="U35" t="s">
        <v>192</v>
      </c>
    </row>
    <row r="36" spans="1:21" x14ac:dyDescent="0.3">
      <c r="A36" s="32"/>
      <c r="B36" s="32"/>
      <c r="C36" s="32"/>
      <c r="D36" s="32"/>
      <c r="E36" s="32"/>
      <c r="F36" s="32"/>
      <c r="G36" s="33"/>
      <c r="H36" s="33"/>
      <c r="I36" s="32"/>
      <c r="J36" s="32"/>
      <c r="K36" s="32"/>
      <c r="L36" s="32"/>
      <c r="M36" s="32"/>
      <c r="N36" s="32"/>
      <c r="O36" s="32"/>
      <c r="P36" s="32"/>
      <c r="Q36" s="32"/>
      <c r="R36" s="32"/>
    </row>
  </sheetData>
  <phoneticPr fontId="1" type="noConversion"/>
  <dataValidations count="2">
    <dataValidation type="list" allowBlank="1" showInputMessage="1" showErrorMessage="1" sqref="D31:E31">
      <formula1>$U$32:$U$35</formula1>
    </dataValidation>
    <dataValidation type="list" allowBlank="1" showInputMessage="1" showErrorMessage="1" sqref="H31">
      <formula1>"本币,原币"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tabSelected="1" workbookViewId="0">
      <selection activeCell="D22" sqref="D22"/>
    </sheetView>
  </sheetViews>
  <sheetFormatPr defaultRowHeight="16.5" x14ac:dyDescent="0.3"/>
  <cols>
    <col min="1" max="4" width="20.77734375" customWidth="1"/>
  </cols>
  <sheetData>
    <row r="1" spans="1:4" x14ac:dyDescent="0.3">
      <c r="A1" t="s">
        <v>65</v>
      </c>
      <c r="B1" t="s">
        <v>233</v>
      </c>
      <c r="C1" t="s">
        <v>68</v>
      </c>
      <c r="D1" t="s">
        <v>4</v>
      </c>
    </row>
    <row r="2" spans="1:4" x14ac:dyDescent="0.3">
      <c r="A2" t="s">
        <v>74</v>
      </c>
      <c r="B2" t="s">
        <v>52</v>
      </c>
      <c r="C2" t="s">
        <v>75</v>
      </c>
      <c r="D2" t="s">
        <v>50</v>
      </c>
    </row>
    <row r="3" spans="1:4" x14ac:dyDescent="0.3">
      <c r="A3" t="s">
        <v>74</v>
      </c>
      <c r="B3" t="s">
        <v>51</v>
      </c>
      <c r="C3" t="s">
        <v>80</v>
      </c>
      <c r="D3" t="s">
        <v>50</v>
      </c>
    </row>
    <row r="4" spans="1:4" x14ac:dyDescent="0.3">
      <c r="A4" t="s">
        <v>77</v>
      </c>
      <c r="B4" t="s">
        <v>49</v>
      </c>
      <c r="C4" t="s">
        <v>53</v>
      </c>
      <c r="D4" t="s">
        <v>53</v>
      </c>
    </row>
    <row r="5" spans="1:4" x14ac:dyDescent="0.3">
      <c r="A5" t="s">
        <v>78</v>
      </c>
      <c r="B5" t="s">
        <v>54</v>
      </c>
      <c r="C5" t="s">
        <v>55</v>
      </c>
      <c r="D5" t="s">
        <v>55</v>
      </c>
    </row>
    <row r="6" spans="1:4" x14ac:dyDescent="0.3">
      <c r="A6" t="s">
        <v>72</v>
      </c>
      <c r="B6" t="s">
        <v>56</v>
      </c>
      <c r="C6" t="s">
        <v>71</v>
      </c>
      <c r="D6" t="s">
        <v>57</v>
      </c>
    </row>
    <row r="7" spans="1:4" x14ac:dyDescent="0.3">
      <c r="A7" t="s">
        <v>79</v>
      </c>
      <c r="B7" t="s">
        <v>58</v>
      </c>
      <c r="C7" t="s">
        <v>81</v>
      </c>
      <c r="D7" t="s">
        <v>57</v>
      </c>
    </row>
    <row r="8" spans="1:4" x14ac:dyDescent="0.3">
      <c r="A8" t="s">
        <v>66</v>
      </c>
      <c r="B8" t="s">
        <v>59</v>
      </c>
      <c r="C8" t="s">
        <v>69</v>
      </c>
      <c r="D8" t="s">
        <v>60</v>
      </c>
    </row>
    <row r="9" spans="1:4" x14ac:dyDescent="0.3">
      <c r="A9" t="s">
        <v>70</v>
      </c>
      <c r="B9" t="s">
        <v>59</v>
      </c>
      <c r="C9" t="s">
        <v>69</v>
      </c>
      <c r="D9" t="s">
        <v>60</v>
      </c>
    </row>
    <row r="10" spans="1:4" x14ac:dyDescent="0.3">
      <c r="A10" t="s">
        <v>82</v>
      </c>
      <c r="B10" t="s">
        <v>59</v>
      </c>
      <c r="C10" t="s">
        <v>69</v>
      </c>
      <c r="D10" t="s">
        <v>60</v>
      </c>
    </row>
    <row r="11" spans="1:4" x14ac:dyDescent="0.3">
      <c r="A11" t="s">
        <v>67</v>
      </c>
      <c r="B11" t="s">
        <v>61</v>
      </c>
      <c r="C11" t="s">
        <v>67</v>
      </c>
      <c r="D11" t="s">
        <v>60</v>
      </c>
    </row>
    <row r="12" spans="1:4" x14ac:dyDescent="0.3">
      <c r="A12" t="s">
        <v>76</v>
      </c>
      <c r="B12" t="s">
        <v>63</v>
      </c>
      <c r="C12" t="s">
        <v>76</v>
      </c>
      <c r="D12" t="s">
        <v>60</v>
      </c>
    </row>
    <row r="13" spans="1:4" x14ac:dyDescent="0.3">
      <c r="A13" t="s">
        <v>83</v>
      </c>
      <c r="B13" t="s">
        <v>62</v>
      </c>
      <c r="C13" t="s">
        <v>73</v>
      </c>
      <c r="D13" t="s">
        <v>60</v>
      </c>
    </row>
    <row r="14" spans="1:4" x14ac:dyDescent="0.3">
      <c r="A14" t="s">
        <v>84</v>
      </c>
      <c r="B14" t="s">
        <v>64</v>
      </c>
      <c r="C14" t="s">
        <v>85</v>
      </c>
      <c r="D14" t="s">
        <v>60</v>
      </c>
    </row>
    <row r="15" spans="1:4" x14ac:dyDescent="0.3">
      <c r="A15" t="s">
        <v>86</v>
      </c>
      <c r="B15" t="s">
        <v>64</v>
      </c>
      <c r="C15" t="s">
        <v>85</v>
      </c>
      <c r="D15" t="s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预算门店信息填报表-表样（BGT）</vt:lpstr>
      <vt:lpstr>预算门店信息填报表-规则（BGT）</vt:lpstr>
      <vt:lpstr>销售-BGT啊</vt:lpstr>
      <vt:lpstr>预实表样&amp;规则说明  </vt:lpstr>
      <vt:lpstr>门店信息滚动更新-表样（FCST）</vt:lpstr>
      <vt:lpstr>门店信息滚动更新-规则（FCST）</vt:lpstr>
      <vt:lpstr>门店销售预算编制表（财务）-BGT</vt:lpstr>
      <vt:lpstr>门店销售预算编制表（业务）-BGT</vt:lpstr>
      <vt:lpstr>门店销售滚动更新（FCST）</vt:lpstr>
      <vt:lpstr>BU&amp;单店品牌对照表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Yue, Ports 1961</dc:creator>
  <cp:lastModifiedBy>Wu Zhiwei</cp:lastModifiedBy>
  <dcterms:created xsi:type="dcterms:W3CDTF">2015-06-05T18:19:34Z</dcterms:created>
  <dcterms:modified xsi:type="dcterms:W3CDTF">2026-01-30T03:00:37Z</dcterms:modified>
</cp:coreProperties>
</file>